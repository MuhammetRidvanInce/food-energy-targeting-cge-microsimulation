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_73" sheetId="1" r:id="rId1"/>
    <sheet name="Macro_SAM" sheetId="2" r:id="rId2"/>
    <sheet name="Accounts" sheetId="3" r:id="rId3"/>
    <sheet name="Tax_Bridge" sheetId="4" r:id="rId4"/>
    <sheet name="Checks" sheetId="5" r:id="rId5"/>
  </sheets>
  <calcPr calcId="124519" fullCalcOnLoad="1"/>
</workbook>
</file>

<file path=xl/sharedStrings.xml><?xml version="1.0" encoding="utf-8"?>
<sst xmlns="http://schemas.openxmlformats.org/spreadsheetml/2006/main" count="875" uniqueCount="281">
  <si>
    <t>Turkey 2023 social accounting matrix</t>
  </si>
  <si>
    <t>Thousand TRY; rows receive and columns share. 64 sectors + 9 accounts; separate PTAX and CTAX.</t>
  </si>
  <si>
    <t>Account</t>
  </si>
  <si>
    <t>S00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</si>
  <si>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</si>
  <si>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</si>
  <si>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</si>
  <si>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</si>
  <si>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</si>
  <si>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</si>
  <si>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</si>
  <si>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</si>
  <si>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</si>
  <si>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</si>
  <si>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</si>
  <si>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</si>
  <si>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</si>
  <si>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</si>
  <si>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</si>
  <si>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</si>
  <si>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</si>
  <si>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</si>
  <si>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</si>
  <si>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</si>
  <si>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</si>
  <si>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</si>
  <si>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</si>
  <si>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</si>
  <si>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</si>
  <si>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</si>
  <si>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</si>
  <si>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</si>
  <si>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</si>
  <si>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</si>
  <si>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</si>
  <si>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</si>
  <si>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</si>
  <si>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</si>
  <si>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</si>
  <si>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</si>
  <si>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</si>
  <si>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</si>
  <si>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</si>
  <si>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</si>
  <si>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</si>
  <si>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</si>
  <si>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</si>
  <si>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</si>
  <si>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</si>
  <si>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</si>
  <si>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</si>
  <si>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</si>
  <si>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</si>
  <si>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</si>
  <si>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</si>
  <si>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</si>
  <si>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</si>
  <si>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</si>
  <si>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</si>
  <si>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</si>
  <si>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</si>
  <si>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</si>
  <si>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</si>
  <si>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</si>
  <si>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</si>
  <si>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</si>
  <si>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</si>
  <si>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LAB</t>
  </si>
  <si>
    <t>CAP</t>
  </si>
  <si>
    <t>PTAX</t>
  </si>
  <si>
    <t>CTAX</t>
  </si>
  <si>
    <t>DTAX</t>
  </si>
  <si>
    <t>HOH</t>
  </si>
  <si>
    <t>GOV</t>
  </si>
  <si>
    <t>INV</t>
  </si>
  <si>
    <t>EXT</t>
  </si>
  <si>
    <t>TOTAL</t>
  </si>
  <si>
    <t>Macro SAM view</t>
  </si>
  <si>
    <t>Thousand TRY; SECTORS aggregates 64 sectors for this display only.</t>
  </si>
  <si>
    <t>SECTORS</t>
  </si>
  <si>
    <t>Account dictionary</t>
  </si>
  <si>
    <t>S00–S63 correspond to source sector codes 0–63. Other identifiers name institutional accounts.</t>
  </si>
  <si>
    <t>Previous code</t>
  </si>
  <si>
    <t>NACE</t>
  </si>
  <si>
    <t>Name</t>
  </si>
  <si>
    <t>Group</t>
  </si>
  <si>
    <t>Scope</t>
  </si>
  <si>
    <t>A01</t>
  </si>
  <si>
    <t>Crop and animal production, hunting and related services</t>
  </si>
  <si>
    <t>Sector</t>
  </si>
  <si>
    <t>IO Total_Supply: rows/columns 0–63</t>
  </si>
  <si>
    <t>A02</t>
  </si>
  <si>
    <t>Forestry and logging</t>
  </si>
  <si>
    <t>A03</t>
  </si>
  <si>
    <t>Fishing and aquaculture</t>
  </si>
  <si>
    <t>B</t>
  </si>
  <si>
    <t>Mining and quarrying products/services</t>
  </si>
  <si>
    <t>C10-C12</t>
  </si>
  <si>
    <t>Food products, beverages and tobacco</t>
  </si>
  <si>
    <t>C13-C15</t>
  </si>
  <si>
    <t>Textiles, wearing apparel and leather products</t>
  </si>
  <si>
    <t>C16</t>
  </si>
  <si>
    <t>Wood and products of wood and cork</t>
  </si>
  <si>
    <t>C17</t>
  </si>
  <si>
    <t>Paper and paper products</t>
  </si>
  <si>
    <t>C18</t>
  </si>
  <si>
    <t>Printing and reproduction of recorded media</t>
  </si>
  <si>
    <t>C19</t>
  </si>
  <si>
    <t>Coke and refined petroleum products</t>
  </si>
  <si>
    <t>C20</t>
  </si>
  <si>
    <t>Chemicals and chemical products</t>
  </si>
  <si>
    <t>C21</t>
  </si>
  <si>
    <t>Basic pharmaceutical products and preparations</t>
  </si>
  <si>
    <t>C22</t>
  </si>
  <si>
    <t>Rubber and plastic products</t>
  </si>
  <si>
    <t>C23</t>
  </si>
  <si>
    <t>Other non-metallic mineral products</t>
  </si>
  <si>
    <t>C24</t>
  </si>
  <si>
    <t>Basic metals</t>
  </si>
  <si>
    <t>C25</t>
  </si>
  <si>
    <t>Fabricated metal products</t>
  </si>
  <si>
    <t>C26</t>
  </si>
  <si>
    <t>Computer, electronic and optical products</t>
  </si>
  <si>
    <t>C27</t>
  </si>
  <si>
    <t>Electrical equipment</t>
  </si>
  <si>
    <t>C28</t>
  </si>
  <si>
    <t>Machinery and equipment n.e.c.</t>
  </si>
  <si>
    <t>C29</t>
  </si>
  <si>
    <t>Motor vehicles, trailers and semi-trailers</t>
  </si>
  <si>
    <t>C30</t>
  </si>
  <si>
    <t>Other transport equipment</t>
  </si>
  <si>
    <t>C31_C32</t>
  </si>
  <si>
    <t>Furniture and other manufacturing</t>
  </si>
  <si>
    <t>C33</t>
  </si>
  <si>
    <t>Repair and installation of machinery and equipment products/services</t>
  </si>
  <si>
    <t>D35</t>
  </si>
  <si>
    <t>Electricity, gas, steam and air conditioning supply</t>
  </si>
  <si>
    <t>E36</t>
  </si>
  <si>
    <t>Water collection, treatment and supply</t>
  </si>
  <si>
    <t>E37-E39</t>
  </si>
  <si>
    <t>Sewerage, waste management and remediation</t>
  </si>
  <si>
    <t>F</t>
  </si>
  <si>
    <t>Construction</t>
  </si>
  <si>
    <t>G45</t>
  </si>
  <si>
    <t>Wholesale and retail trade and repair of motor vehicles</t>
  </si>
  <si>
    <t>G46</t>
  </si>
  <si>
    <t>Wholesale trade, except motor vehicles</t>
  </si>
  <si>
    <t>G47</t>
  </si>
  <si>
    <t>Retail trade, except motor vehicles</t>
  </si>
  <si>
    <t>H49</t>
  </si>
  <si>
    <t>Land transport and transport via pipelines</t>
  </si>
  <si>
    <t>H50</t>
  </si>
  <si>
    <t>Water transport</t>
  </si>
  <si>
    <t>H51</t>
  </si>
  <si>
    <t>Air transport</t>
  </si>
  <si>
    <t>H52</t>
  </si>
  <si>
    <t>Warehousing and support activities for transportation</t>
  </si>
  <si>
    <t>H53</t>
  </si>
  <si>
    <t>Postal and courier activities</t>
  </si>
  <si>
    <t>I</t>
  </si>
  <si>
    <t>Accommodation and food service activities</t>
  </si>
  <si>
    <t>J58</t>
  </si>
  <si>
    <t>Publishing activities</t>
  </si>
  <si>
    <t>J59_J60</t>
  </si>
  <si>
    <t>Audiovisual and broadcasting activities</t>
  </si>
  <si>
    <t>J61</t>
  </si>
  <si>
    <t>Telecommunications</t>
  </si>
  <si>
    <t>J62_J63</t>
  </si>
  <si>
    <t>Computer programming and information services</t>
  </si>
  <si>
    <t>K64</t>
  </si>
  <si>
    <t>Financial services, except insurance and pension funding</t>
  </si>
  <si>
    <t>K65</t>
  </si>
  <si>
    <t>Insurance, reinsurance and pension funding</t>
  </si>
  <si>
    <t>K66</t>
  </si>
  <si>
    <t>Activities auxiliary to financial services and insurance</t>
  </si>
  <si>
    <t>L68B</t>
  </si>
  <si>
    <t>Real estate activities excluding imputed rents</t>
  </si>
  <si>
    <t>L68A</t>
  </si>
  <si>
    <t>Imputed rents of owner-occupied dwellings products/services</t>
  </si>
  <si>
    <t>M69_M70</t>
  </si>
  <si>
    <t>Legal, accounting and management consultancy activities</t>
  </si>
  <si>
    <t>M71</t>
  </si>
  <si>
    <t>Architectural and engineering activities; technical testing</t>
  </si>
  <si>
    <t>M72</t>
  </si>
  <si>
    <t>Scientific research and development</t>
  </si>
  <si>
    <t>M73</t>
  </si>
  <si>
    <t>Advertising and market research</t>
  </si>
  <si>
    <t>M74_M75</t>
  </si>
  <si>
    <t>Other professional, scientific, technical and veterinary activities</t>
  </si>
  <si>
    <t>N77</t>
  </si>
  <si>
    <t>Rental and leasing activities</t>
  </si>
  <si>
    <t>N78</t>
  </si>
  <si>
    <t>Employment activities</t>
  </si>
  <si>
    <t>N79</t>
  </si>
  <si>
    <t>Travel agencies, tour operators and reservation services</t>
  </si>
  <si>
    <t>N80-N82</t>
  </si>
  <si>
    <t>Security, building services and administrative support</t>
  </si>
  <si>
    <t>O84</t>
  </si>
  <si>
    <t>Public administration and defence; compulsory social security</t>
  </si>
  <si>
    <t>P85</t>
  </si>
  <si>
    <t>Education</t>
  </si>
  <si>
    <t>Q86</t>
  </si>
  <si>
    <t>Human health activities products/services</t>
  </si>
  <si>
    <t>Q87_Q88</t>
  </si>
  <si>
    <t>Residential care and social work activities</t>
  </si>
  <si>
    <t>R90-R92</t>
  </si>
  <si>
    <t>Arts, entertainment and recreation activities</t>
  </si>
  <si>
    <t>R93</t>
  </si>
  <si>
    <t>Sports, amusement and recreation activities</t>
  </si>
  <si>
    <t>S94</t>
  </si>
  <si>
    <t>Activities of membership organisations</t>
  </si>
  <si>
    <t>S95</t>
  </si>
  <si>
    <t>Repair of computers and personal and household goods</t>
  </si>
  <si>
    <t>S96</t>
  </si>
  <si>
    <t>Other personal service activities</t>
  </si>
  <si>
    <t>T</t>
  </si>
  <si>
    <t>Activities of households as employers and for own use</t>
  </si>
  <si>
    <t/>
  </si>
  <si>
    <t>Labour</t>
  </si>
  <si>
    <t>Factor</t>
  </si>
  <si>
    <t>Compensation of employees</t>
  </si>
  <si>
    <t>Capital</t>
  </si>
  <si>
    <t>Gross operating surplus / mixed income, including depreciation</t>
  </si>
  <si>
    <t>Other net production taxes</t>
  </si>
  <si>
    <t>Tax</t>
  </si>
  <si>
    <t>Production taxes less subsidies; D29-D39</t>
  </si>
  <si>
    <t>Net product taxes</t>
  </si>
  <si>
    <t>Commodity taxes less subsidies; D21-D31; import duties are not separately identified</t>
  </si>
  <si>
    <t>Direct tax</t>
  </si>
  <si>
    <t>TurkStat D.5 general government resources; HOH → DTAX → GOV</t>
  </si>
  <si>
    <t>Representative household</t>
  </si>
  <si>
    <t>Institution</t>
  </si>
  <si>
    <t>All labour and capital income; representative private-sector scope</t>
  </si>
  <si>
    <t>Government</t>
  </si>
  <si>
    <t>Tax revenue, government consumption and residual government saving</t>
  </si>
  <si>
    <t>Investment-tasarruf</t>
  </si>
  <si>
    <t>Investment and inventories; private, government and foreign saving</t>
  </si>
  <si>
    <t>Rest of the world</t>
  </si>
  <si>
    <t>IO imports/exports; excludes foreign factor income and transfers</t>
  </si>
  <si>
    <t>Transfer of tax data to separate SAM accounts</t>
  </si>
  <si>
    <t>Thousand TRY. CTAX: net product taxes. PTAX: other net production taxes. Import duties are not separate.</t>
  </si>
  <si>
    <t>CTAX: net product taxes</t>
  </si>
  <si>
    <t>PTAX: other net production taxes</t>
  </si>
  <si>
    <t>PTAX + CTAX</t>
  </si>
  <si>
    <t>Source</t>
  </si>
  <si>
    <t>I_industry_io_tables_2023.xlsx / Total_Supply</t>
  </si>
  <si>
    <t>Household</t>
  </si>
  <si>
    <t>Investment</t>
  </si>
  <si>
    <t>Exports</t>
  </si>
  <si>
    <t>Transaction</t>
  </si>
  <si>
    <t>Value</t>
  </si>
  <si>
    <t>Unit</t>
  </si>
  <si>
    <t>Institutional side</t>
  </si>
  <si>
    <t>Source cell</t>
  </si>
  <si>
    <t>Source workbook / sheet</t>
  </si>
  <si>
    <t>D.5</t>
  </si>
  <si>
    <t>thousand TRY</t>
  </si>
  <si>
    <t>General government resources</t>
  </si>
  <si>
    <t>L48</t>
  </si>
  <si>
    <t>TurkStat 2023 institutional accounts / t_2023</t>
  </si>
  <si>
    <t>D.5 HOH</t>
  </si>
  <si>
    <t>Household uses; excluded from the model input</t>
  </si>
  <si>
    <t>D48</t>
  </si>
  <si>
    <t>D.51</t>
  </si>
  <si>
    <t>L49</t>
  </si>
  <si>
    <t>D.59</t>
  </si>
  <si>
    <t>L50</t>
  </si>
  <si>
    <t>TurkStat statistical release</t>
  </si>
  <si>
    <t>https://veriportali.tuik.gov.tr/tr/press/57929</t>
  </si>
  <si>
    <t>Release / reference period</t>
  </si>
  <si>
    <t>9 October 2025 / 2023</t>
  </si>
  <si>
    <t>Method</t>
  </si>
  <si>
    <t>Hosoe et al. (2010), Chapter 4, pp. 47–56; Japan Tables 4.4–4.5.C</t>
  </si>
  <si>
    <t>Account balance checks</t>
  </si>
  <si>
    <t>Thousand TRY; absolute tolerance 0.001 thousand TRY = 1 TRY. Source flows preserved.</t>
  </si>
  <si>
    <t>Row total</t>
  </si>
  <si>
    <t>Column total</t>
  </si>
  <si>
    <t>Difference</t>
  </si>
  <si>
    <t>Absolute difference</t>
  </si>
  <si>
    <t>Relative difference</t>
  </si>
  <si>
    <t>Result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</si>
</sst>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BW79"/>
  <sheetViews>
    <sheetView tabSelected="1" workbookViewId="0"/>
  </sheetViews>
  <sheetFormatPr defaultRowHeight="15"/>
  <sheetData>
    <row r="2" spans="1:75">
      <c r="A2" t="s">
        <v>0</v>
      </c>
    </row>
    <row r="3" spans="1:75">
      <c r="A3" t="s">
        <v>1</v>
      </c>
    </row>
    <row r="5" spans="1:7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</row>
    <row r="6" spans="1:75">
      <c r="A6" t="s">
        <v>3</v>
      </c>
      <c r="B6">
        <v>481625621.7180552</v>
      </c>
      <c r="C6">
        <v>373000.818579153</v>
      </c>
      <c r="D6">
        <v>198259.7860711807</v>
      </c>
      <c r="E6">
        <v>3987287.316192687</v>
      </c>
      <c r="F6">
        <v>871389321.7633295</v>
      </c>
      <c r="G6">
        <v>63339366.63304166</v>
      </c>
      <c r="H6">
        <v>2224810.044150749</v>
      </c>
      <c r="I6">
        <v>1458634.995993341</v>
      </c>
      <c r="J6">
        <v>129394.7835449453</v>
      </c>
      <c r="K6">
        <v>79985.73084417418</v>
      </c>
      <c r="L6">
        <v>2809629.461735488</v>
      </c>
      <c r="M6">
        <v>500984.513740713</v>
      </c>
      <c r="N6">
        <v>11124154.47016211</v>
      </c>
      <c r="O6">
        <v>1463830.798371401</v>
      </c>
      <c r="P6">
        <v>54920.80026136379</v>
      </c>
      <c r="Q6">
        <v>964984.600973498</v>
      </c>
      <c r="R6">
        <v>70247.45166699255</v>
      </c>
      <c r="S6">
        <v>494710.1165544115</v>
      </c>
      <c r="T6">
        <v>1054643.563843769</v>
      </c>
      <c r="U6">
        <v>115216.4120053539</v>
      </c>
      <c r="V6">
        <v>133070.9626976171</v>
      </c>
      <c r="W6">
        <v>826810.9221178354</v>
      </c>
      <c r="X6">
        <v>55671.38588679835</v>
      </c>
      <c r="Y6">
        <v>2502208.270450457</v>
      </c>
      <c r="Z6">
        <v>25383.814539242</v>
      </c>
      <c r="AA6">
        <v>45464.2263322844</v>
      </c>
      <c r="AB6">
        <v>33543388.45942567</v>
      </c>
      <c r="AC6">
        <v>7594546.080598378</v>
      </c>
      <c r="AD6">
        <v>10538132.04307423</v>
      </c>
      <c r="AE6">
        <v>2259052.974671921</v>
      </c>
      <c r="AF6">
        <v>19675318.23496975</v>
      </c>
      <c r="AG6">
        <v>2970681.392348409</v>
      </c>
      <c r="AH6">
        <v>38981.15952209599</v>
      </c>
      <c r="AI6">
        <v>5880456.717791654</v>
      </c>
      <c r="AJ6">
        <v>418351.529747402</v>
      </c>
      <c r="AK6">
        <v>46993862.03408399</v>
      </c>
      <c r="AL6">
        <v>63875.09313504832</v>
      </c>
      <c r="AM6">
        <v>101279.2855354776</v>
      </c>
      <c r="AN6">
        <v>207385.9283389143</v>
      </c>
      <c r="AO6">
        <v>361057.4144899878</v>
      </c>
      <c r="AP6">
        <v>23016.75718060284</v>
      </c>
      <c r="AQ6">
        <v>1229.081879345242</v>
      </c>
      <c r="AR6">
        <v>4736.726920398298</v>
      </c>
      <c r="AS6">
        <v>1792955.359920612</v>
      </c>
      <c r="AT6">
        <v>193.6998887183779</v>
      </c>
      <c r="AU6">
        <v>1520571.000306394</v>
      </c>
      <c r="AV6">
        <v>1628627.009561512</v>
      </c>
      <c r="AW6">
        <v>31415.09863278417</v>
      </c>
      <c r="AX6">
        <v>564315.7973903973</v>
      </c>
      <c r="AY6">
        <v>1634735.909116755</v>
      </c>
      <c r="AZ6">
        <v>926416.5200751118</v>
      </c>
      <c r="BA6">
        <v>21624.50054533126</v>
      </c>
      <c r="BB6">
        <v>1002345.724379492</v>
      </c>
      <c r="BC6">
        <v>843179.3802068672</v>
      </c>
      <c r="BD6">
        <v>19294523.15346791</v>
      </c>
      <c r="BE6">
        <v>1684253.512377948</v>
      </c>
      <c r="BF6">
        <v>763101.3632885653</v>
      </c>
      <c r="BG6">
        <v>1837292.178661771</v>
      </c>
      <c r="BH6">
        <v>2579205.651062922</v>
      </c>
      <c r="BI6">
        <v>641765.6949167082</v>
      </c>
      <c r="BJ6">
        <v>1146756.834875013</v>
      </c>
      <c r="BK6">
        <v>171972.8011645048</v>
      </c>
      <c r="BL6">
        <v>645153.7910607294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971597413.5138007</v>
      </c>
      <c r="BT6">
        <v>14221.95577370667</v>
      </c>
      <c r="BU6">
        <v>85577391.59949069</v>
      </c>
      <c r="BV6">
        <v>191867620.3796141</v>
      </c>
      <c r="BW6">
        <f>SUM(B6:BV6)</f>
        <v>2865510018.7044344</v>
      </c>
    </row>
    <row r="7" spans="1:75">
      <c r="A7" t="s">
        <v>4</v>
      </c>
      <c r="B7">
        <v>2086843.435965888</v>
      </c>
      <c r="C7">
        <v>1712813.84907291</v>
      </c>
      <c r="D7">
        <v>118297.4333691826</v>
      </c>
      <c r="E7">
        <v>237.2809901671732</v>
      </c>
      <c r="F7">
        <v>1882440.836314221</v>
      </c>
      <c r="G7">
        <v>1203488.503701939</v>
      </c>
      <c r="H7">
        <v>19936500.82991856</v>
      </c>
      <c r="I7">
        <v>20821414.43748628</v>
      </c>
      <c r="J7">
        <v>54.21387614602697</v>
      </c>
      <c r="K7">
        <v>1178.971475286691</v>
      </c>
      <c r="L7">
        <v>592319.2243907694</v>
      </c>
      <c r="M7">
        <v>22877.19368852528</v>
      </c>
      <c r="N7">
        <v>5749.55589174844</v>
      </c>
      <c r="O7">
        <v>31280.69217556085</v>
      </c>
      <c r="P7">
        <v>212.8502076894364</v>
      </c>
      <c r="Q7">
        <v>20216.00072320856</v>
      </c>
      <c r="R7">
        <v>72.09984800844644</v>
      </c>
      <c r="S7">
        <v>10101.02108962478</v>
      </c>
      <c r="T7">
        <v>8761.76205935687</v>
      </c>
      <c r="U7">
        <v>337.6899978724455</v>
      </c>
      <c r="V7">
        <v>1020.77401365979</v>
      </c>
      <c r="W7">
        <v>87456.78911376218</v>
      </c>
      <c r="X7">
        <v>175.5876990390752</v>
      </c>
      <c r="Y7">
        <v>1624.075370042282</v>
      </c>
      <c r="Z7">
        <v>1.657565794988672</v>
      </c>
      <c r="AA7">
        <v>686.4539115120899</v>
      </c>
      <c r="AB7">
        <v>49834.7139298902</v>
      </c>
      <c r="AC7">
        <v>2073.999499035599</v>
      </c>
      <c r="AD7">
        <v>233079.5691840432</v>
      </c>
      <c r="AE7">
        <v>3222.275426852078</v>
      </c>
      <c r="AF7">
        <v>2106.22492300416</v>
      </c>
      <c r="AG7">
        <v>203.3221455426794</v>
      </c>
      <c r="AH7">
        <v>366.5837062732267</v>
      </c>
      <c r="AI7">
        <v>1456.663621677999</v>
      </c>
      <c r="AJ7">
        <v>805.8085795136953</v>
      </c>
      <c r="AK7">
        <v>10933.72038799525</v>
      </c>
      <c r="AL7">
        <v>121.4365189758009</v>
      </c>
      <c r="AM7">
        <v>182.8878107413611</v>
      </c>
      <c r="AN7">
        <v>15.27021214850534</v>
      </c>
      <c r="AO7">
        <v>215.9998629336455</v>
      </c>
      <c r="AP7">
        <v>2.907589070264088</v>
      </c>
      <c r="AQ7">
        <v>0.4297921807405616</v>
      </c>
      <c r="AR7">
        <v>3.220827550050616</v>
      </c>
      <c r="AS7">
        <v>6210.658153509527</v>
      </c>
      <c r="AT7">
        <v>0</v>
      </c>
      <c r="AU7">
        <v>767.8347022701188</v>
      </c>
      <c r="AV7">
        <v>24611.48138445533</v>
      </c>
      <c r="AW7">
        <v>37.26189404374202</v>
      </c>
      <c r="AX7">
        <v>21398.35009491946</v>
      </c>
      <c r="AY7">
        <v>918.0257043248854</v>
      </c>
      <c r="AZ7">
        <v>672.5533815744117</v>
      </c>
      <c r="BA7">
        <v>231.8191012444732</v>
      </c>
      <c r="BB7">
        <v>243.1736953773699</v>
      </c>
      <c r="BC7">
        <v>65835.37792530911</v>
      </c>
      <c r="BD7">
        <v>17319.51055029705</v>
      </c>
      <c r="BE7">
        <v>16619.52752388827</v>
      </c>
      <c r="BF7">
        <v>7474.849514894172</v>
      </c>
      <c r="BG7">
        <v>61.31933340389184</v>
      </c>
      <c r="BH7">
        <v>1468.754672775719</v>
      </c>
      <c r="BI7">
        <v>2486.401471378249</v>
      </c>
      <c r="BJ7">
        <v>3767.42227558714</v>
      </c>
      <c r="BK7">
        <v>44399.36875678116</v>
      </c>
      <c r="BL7">
        <v>387.1181932454767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20301030.31711673</v>
      </c>
      <c r="BT7">
        <v>282.3955754384523</v>
      </c>
      <c r="BU7">
        <v>-291109.6095834441</v>
      </c>
      <c r="BV7">
        <v>359811.1247867506</v>
      </c>
      <c r="BW7">
        <f>SUM(B7:BV7)</f>
        <v>69435713.29015894</v>
      </c>
    </row>
    <row r="8" spans="1:75">
      <c r="A8" t="s">
        <v>5</v>
      </c>
      <c r="B8">
        <v>0</v>
      </c>
      <c r="C8">
        <v>0</v>
      </c>
      <c r="D8">
        <v>1357836.159512607</v>
      </c>
      <c r="E8">
        <v>1080.181621265797</v>
      </c>
      <c r="F8">
        <v>250901.1608068821</v>
      </c>
      <c r="G8">
        <v>2342.852853498676</v>
      </c>
      <c r="H8">
        <v>96.8870534442254</v>
      </c>
      <c r="I8">
        <v>1029.72039569914</v>
      </c>
      <c r="J8">
        <v>110.8060742005365</v>
      </c>
      <c r="K8">
        <v>66.58669869368475</v>
      </c>
      <c r="L8">
        <v>1780.67371826345</v>
      </c>
      <c r="M8">
        <v>107.6396521603804</v>
      </c>
      <c r="N8">
        <v>635.3483091847904</v>
      </c>
      <c r="O8">
        <v>1227.345734733746</v>
      </c>
      <c r="P8">
        <v>684.8555938843724</v>
      </c>
      <c r="Q8">
        <v>641.9446944013447</v>
      </c>
      <c r="R8">
        <v>76.88660112894361</v>
      </c>
      <c r="S8">
        <v>1881.731952207742</v>
      </c>
      <c r="T8">
        <v>625.3517402779022</v>
      </c>
      <c r="U8">
        <v>572.1096799335305</v>
      </c>
      <c r="V8">
        <v>182.1254226448498</v>
      </c>
      <c r="W8">
        <v>614.2793644195079</v>
      </c>
      <c r="X8">
        <v>297.2698407953096</v>
      </c>
      <c r="Y8">
        <v>580.6908183137555</v>
      </c>
      <c r="Z8">
        <v>73.58676577720364</v>
      </c>
      <c r="AA8">
        <v>94.04747306905107</v>
      </c>
      <c r="AB8">
        <v>10288.91642373828</v>
      </c>
      <c r="AC8">
        <v>714.0557153059762</v>
      </c>
      <c r="AD8">
        <v>102158.8658107926</v>
      </c>
      <c r="AE8">
        <v>789.437006967553</v>
      </c>
      <c r="AF8">
        <v>3718.020084831281</v>
      </c>
      <c r="AG8">
        <v>1346.613967719346</v>
      </c>
      <c r="AH8">
        <v>1345.989205667607</v>
      </c>
      <c r="AI8">
        <v>4251.344177130367</v>
      </c>
      <c r="AJ8">
        <v>220.5307301236736</v>
      </c>
      <c r="AK8">
        <v>125641.6144447189</v>
      </c>
      <c r="AL8">
        <v>62.95238612615444</v>
      </c>
      <c r="AM8">
        <v>162.7250880546053</v>
      </c>
      <c r="AN8">
        <v>57.2773475867012</v>
      </c>
      <c r="AO8">
        <v>321.3375467763756</v>
      </c>
      <c r="AP8">
        <v>13.00587369145803</v>
      </c>
      <c r="AQ8">
        <v>1.922745056639658</v>
      </c>
      <c r="AR8">
        <v>14.40697819537736</v>
      </c>
      <c r="AS8">
        <v>1542.680890873031</v>
      </c>
      <c r="AT8">
        <v>0</v>
      </c>
      <c r="AU8">
        <v>863.6998266951476</v>
      </c>
      <c r="AV8">
        <v>650.6331565723974</v>
      </c>
      <c r="AW8">
        <v>45.26786788740837</v>
      </c>
      <c r="AX8">
        <v>200.5230779102294</v>
      </c>
      <c r="AY8">
        <v>538.4027431142615</v>
      </c>
      <c r="AZ8">
        <v>174.8862210394083</v>
      </c>
      <c r="BA8">
        <v>93.63534843133623</v>
      </c>
      <c r="BB8">
        <v>705.196288634065</v>
      </c>
      <c r="BC8">
        <v>1176.17778387128</v>
      </c>
      <c r="BD8">
        <v>69710.33207121342</v>
      </c>
      <c r="BE8">
        <v>1368.999068407546</v>
      </c>
      <c r="BF8">
        <v>21403.17072649662</v>
      </c>
      <c r="BG8">
        <v>349.754676210316</v>
      </c>
      <c r="BH8">
        <v>196.8845056670867</v>
      </c>
      <c r="BI8">
        <v>662.3034801616416</v>
      </c>
      <c r="BJ8">
        <v>46.63222443436712</v>
      </c>
      <c r="BK8">
        <v>51.48051339614732</v>
      </c>
      <c r="BL8">
        <v>427.4125240014764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12262649.8439656</v>
      </c>
      <c r="BT8">
        <v>0.6205657453328467</v>
      </c>
      <c r="BU8">
        <v>40303434.78357746</v>
      </c>
      <c r="BV8">
        <v>14720468.18532927</v>
      </c>
      <c r="BW8">
        <f>SUM(B8:BV8)</f>
        <v>69261410.76434307</v>
      </c>
    </row>
    <row r="9" spans="1:75">
      <c r="A9" t="s">
        <v>6</v>
      </c>
      <c r="B9">
        <v>4368243.001290174</v>
      </c>
      <c r="C9">
        <v>198192.8095192827</v>
      </c>
      <c r="D9">
        <v>50650.84312619337</v>
      </c>
      <c r="E9">
        <v>58167164.10596654</v>
      </c>
      <c r="F9">
        <v>8045510.29551932</v>
      </c>
      <c r="G9">
        <v>6587524.541046585</v>
      </c>
      <c r="H9">
        <v>1807956.5041628</v>
      </c>
      <c r="I9">
        <v>2768079.88614938</v>
      </c>
      <c r="J9">
        <v>489142.7217316998</v>
      </c>
      <c r="K9">
        <v>432231108.1102238</v>
      </c>
      <c r="L9">
        <v>15828999.73895202</v>
      </c>
      <c r="M9">
        <v>236336.167835779</v>
      </c>
      <c r="N9">
        <v>4574641.388043339</v>
      </c>
      <c r="O9">
        <v>66633183.495738</v>
      </c>
      <c r="P9">
        <v>103551861.3407583</v>
      </c>
      <c r="Q9">
        <v>9441331.26913074</v>
      </c>
      <c r="R9">
        <v>304885.5434923366</v>
      </c>
      <c r="S9">
        <v>3891308.025600547</v>
      </c>
      <c r="T9">
        <v>4112814.426246466</v>
      </c>
      <c r="U9">
        <v>3460494.052606755</v>
      </c>
      <c r="V9">
        <v>1225051.18891269</v>
      </c>
      <c r="W9">
        <v>3785508.919951352</v>
      </c>
      <c r="X9">
        <v>1321681.842510105</v>
      </c>
      <c r="Y9">
        <v>461740787.6599342</v>
      </c>
      <c r="Z9">
        <v>762627.8354242782</v>
      </c>
      <c r="AA9">
        <v>1136444.032244975</v>
      </c>
      <c r="AB9">
        <v>83138055.17813908</v>
      </c>
      <c r="AC9">
        <v>1847105.068392323</v>
      </c>
      <c r="AD9">
        <v>14809356.54860666</v>
      </c>
      <c r="AE9">
        <v>1968734.097280776</v>
      </c>
      <c r="AF9">
        <v>36618442.68926089</v>
      </c>
      <c r="AG9">
        <v>1475746.187725609</v>
      </c>
      <c r="AH9">
        <v>164346.5074829059</v>
      </c>
      <c r="AI9">
        <v>3267263.963324154</v>
      </c>
      <c r="AJ9">
        <v>186910.4393151388</v>
      </c>
      <c r="AK9">
        <v>3028591.052244906</v>
      </c>
      <c r="AL9">
        <v>32502.08152173446</v>
      </c>
      <c r="AM9">
        <v>87563.2640649867</v>
      </c>
      <c r="AN9">
        <v>65355.995517294</v>
      </c>
      <c r="AO9">
        <v>186251.3528659357</v>
      </c>
      <c r="AP9">
        <v>40282.90719740075</v>
      </c>
      <c r="AQ9">
        <v>1713.96739010543</v>
      </c>
      <c r="AR9">
        <v>56122.37597150582</v>
      </c>
      <c r="AS9">
        <v>1585888.597163544</v>
      </c>
      <c r="AT9">
        <v>359066.8471949904</v>
      </c>
      <c r="AU9">
        <v>1301489.311355477</v>
      </c>
      <c r="AV9">
        <v>2826342.212579828</v>
      </c>
      <c r="AW9">
        <v>63203.69525248471</v>
      </c>
      <c r="AX9">
        <v>236891.9257593272</v>
      </c>
      <c r="AY9">
        <v>243986.6922584933</v>
      </c>
      <c r="AZ9">
        <v>561711.6806282791</v>
      </c>
      <c r="BA9">
        <v>116421.068101486</v>
      </c>
      <c r="BB9">
        <v>481999.710374349</v>
      </c>
      <c r="BC9">
        <v>1602886.457056988</v>
      </c>
      <c r="BD9">
        <v>600175.1962081306</v>
      </c>
      <c r="BE9">
        <v>272550.9036584217</v>
      </c>
      <c r="BF9">
        <v>3426921.13433592</v>
      </c>
      <c r="BG9">
        <v>66015.54550892486</v>
      </c>
      <c r="BH9">
        <v>229237.0090901701</v>
      </c>
      <c r="BI9">
        <v>146629.6569963853</v>
      </c>
      <c r="BJ9">
        <v>66962.70478487801</v>
      </c>
      <c r="BK9">
        <v>62904.75687476907</v>
      </c>
      <c r="BL9">
        <v>301875.7572433088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48854651.35250571</v>
      </c>
      <c r="BT9">
        <v>3332417.852981932</v>
      </c>
      <c r="BU9">
        <v>38772962.85984239</v>
      </c>
      <c r="BV9">
        <v>76817277.13606384</v>
      </c>
      <c r="BW9">
        <f>SUM(B9:BV9)</f>
        <v>1526026343.486239</v>
      </c>
    </row>
    <row r="10" spans="1:75">
      <c r="A10" t="s">
        <v>7</v>
      </c>
      <c r="B10">
        <v>79995434.99649224</v>
      </c>
      <c r="C10">
        <v>46981.54392270114</v>
      </c>
      <c r="D10">
        <v>2171060.703740531</v>
      </c>
      <c r="E10">
        <v>3227901.614769424</v>
      </c>
      <c r="F10">
        <v>412786628.9905263</v>
      </c>
      <c r="G10">
        <v>17475567.10832456</v>
      </c>
      <c r="H10">
        <v>2345987.482226613</v>
      </c>
      <c r="I10">
        <v>14919367.90687503</v>
      </c>
      <c r="J10">
        <v>2604572.963610208</v>
      </c>
      <c r="K10">
        <v>2969989.465276012</v>
      </c>
      <c r="L10">
        <v>10915798.22036055</v>
      </c>
      <c r="M10">
        <v>2430172.384705457</v>
      </c>
      <c r="N10">
        <v>7764607.129014874</v>
      </c>
      <c r="O10">
        <v>4968842.527855618</v>
      </c>
      <c r="P10">
        <v>3014461.026747741</v>
      </c>
      <c r="Q10">
        <v>4043727.921168581</v>
      </c>
      <c r="R10">
        <v>710576.2282215809</v>
      </c>
      <c r="S10">
        <v>2640791.2668762</v>
      </c>
      <c r="T10">
        <v>3587592.899778761</v>
      </c>
      <c r="U10">
        <v>3603835.016598692</v>
      </c>
      <c r="V10">
        <v>1175411.974016026</v>
      </c>
      <c r="W10">
        <v>3024798.681532993</v>
      </c>
      <c r="X10">
        <v>1531274.058590201</v>
      </c>
      <c r="Y10">
        <v>9528373.637747791</v>
      </c>
      <c r="Z10">
        <v>656439.0801865266</v>
      </c>
      <c r="AA10">
        <v>1562970.008465465</v>
      </c>
      <c r="AB10">
        <v>47684748.32758629</v>
      </c>
      <c r="AC10">
        <v>4828602.455906025</v>
      </c>
      <c r="AD10">
        <v>12291421.69689131</v>
      </c>
      <c r="AE10">
        <v>9840531.094272148</v>
      </c>
      <c r="AF10">
        <v>13448560.38046869</v>
      </c>
      <c r="AG10">
        <v>455924.5280121826</v>
      </c>
      <c r="AH10">
        <v>747386.8564918983</v>
      </c>
      <c r="AI10">
        <v>5682226.899378835</v>
      </c>
      <c r="AJ10">
        <v>1462220.4401844</v>
      </c>
      <c r="AK10">
        <v>213519771.1371517</v>
      </c>
      <c r="AL10">
        <v>827873.9293114389</v>
      </c>
      <c r="AM10">
        <v>505786.9740137538</v>
      </c>
      <c r="AN10">
        <v>441685.450898838</v>
      </c>
      <c r="AO10">
        <v>900807.6438194886</v>
      </c>
      <c r="AP10">
        <v>1047301.070282877</v>
      </c>
      <c r="AQ10">
        <v>35983.2280112304</v>
      </c>
      <c r="AR10">
        <v>279964.80379408</v>
      </c>
      <c r="AS10">
        <v>5394915.666616565</v>
      </c>
      <c r="AT10">
        <v>295716.1320393002</v>
      </c>
      <c r="AU10">
        <v>4537863.675410744</v>
      </c>
      <c r="AV10">
        <v>2138865.816843731</v>
      </c>
      <c r="AW10">
        <v>113978.7152108255</v>
      </c>
      <c r="AX10">
        <v>1751218.157237408</v>
      </c>
      <c r="AY10">
        <v>1845887.064399917</v>
      </c>
      <c r="AZ10">
        <v>1544260.918478156</v>
      </c>
      <c r="BA10">
        <v>481612.4831149892</v>
      </c>
      <c r="BB10">
        <v>2384620.445193852</v>
      </c>
      <c r="BC10">
        <v>7112641.756606765</v>
      </c>
      <c r="BD10">
        <v>18810762.27989125</v>
      </c>
      <c r="BE10">
        <v>3731123.775036866</v>
      </c>
      <c r="BF10">
        <v>4402392.804651558</v>
      </c>
      <c r="BG10">
        <v>4288570.398108515</v>
      </c>
      <c r="BH10">
        <v>5348168.612866947</v>
      </c>
      <c r="BI10">
        <v>1980764.416321745</v>
      </c>
      <c r="BJ10">
        <v>2751920.946599775</v>
      </c>
      <c r="BK10">
        <v>260693.9675737485</v>
      </c>
      <c r="BL10">
        <v>2006985.910060292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1879427985.837943</v>
      </c>
      <c r="BT10">
        <v>1200962.57799632</v>
      </c>
      <c r="BU10">
        <v>-160778283.5538892</v>
      </c>
      <c r="BV10">
        <v>409319929.1007709</v>
      </c>
      <c r="BW10">
        <f>SUM(B10:BV10)</f>
        <v>3114057519.65919</v>
      </c>
    </row>
    <row r="11" spans="1:75">
      <c r="A11" t="s">
        <v>8</v>
      </c>
      <c r="B11">
        <v>2564962.3532523</v>
      </c>
      <c r="C11">
        <v>85213.37929794705</v>
      </c>
      <c r="D11">
        <v>178097.2537171143</v>
      </c>
      <c r="E11">
        <v>1385505.48913393</v>
      </c>
      <c r="F11">
        <v>6893399.870128865</v>
      </c>
      <c r="G11">
        <v>657245910.5302572</v>
      </c>
      <c r="H11">
        <v>873078.7937855043</v>
      </c>
      <c r="I11">
        <v>8540528.001561891</v>
      </c>
      <c r="J11">
        <v>3630103.862710064</v>
      </c>
      <c r="K11">
        <v>386169.0546881192</v>
      </c>
      <c r="L11">
        <v>7134659.680835281</v>
      </c>
      <c r="M11">
        <v>1034784.120206391</v>
      </c>
      <c r="N11">
        <v>12604185.1709018</v>
      </c>
      <c r="O11">
        <v>4128620.656371197</v>
      </c>
      <c r="P11">
        <v>2100361.425885889</v>
      </c>
      <c r="Q11">
        <v>3917770.769100286</v>
      </c>
      <c r="R11">
        <v>648888.9793435796</v>
      </c>
      <c r="S11">
        <v>3114191.103343061</v>
      </c>
      <c r="T11">
        <v>6708853.110628738</v>
      </c>
      <c r="U11">
        <v>9660952.520802204</v>
      </c>
      <c r="V11">
        <v>2649968.151635015</v>
      </c>
      <c r="W11">
        <v>19301048.35653717</v>
      </c>
      <c r="X11">
        <v>1560561.045869832</v>
      </c>
      <c r="Y11">
        <v>5503881.584697899</v>
      </c>
      <c r="Z11">
        <v>220877.9232061435</v>
      </c>
      <c r="AA11">
        <v>2893707.603069817</v>
      </c>
      <c r="AB11">
        <v>23673871.73751328</v>
      </c>
      <c r="AC11">
        <v>3435489.429864002</v>
      </c>
      <c r="AD11">
        <v>23998667.10810848</v>
      </c>
      <c r="AE11">
        <v>8318448.91294382</v>
      </c>
      <c r="AF11">
        <v>5946789.538044509</v>
      </c>
      <c r="AG11">
        <v>515629.9114285527</v>
      </c>
      <c r="AH11">
        <v>660573.2902846839</v>
      </c>
      <c r="AI11">
        <v>2244873.45904088</v>
      </c>
      <c r="AJ11">
        <v>1121933.675783604</v>
      </c>
      <c r="AK11">
        <v>7939489.89538229</v>
      </c>
      <c r="AL11">
        <v>765503.9161606898</v>
      </c>
      <c r="AM11">
        <v>447116.6389509087</v>
      </c>
      <c r="AN11">
        <v>322135.24589016</v>
      </c>
      <c r="AO11">
        <v>548586.0590574748</v>
      </c>
      <c r="AP11">
        <v>404644.8661656973</v>
      </c>
      <c r="AQ11">
        <v>30108.52837883636</v>
      </c>
      <c r="AR11">
        <v>171222.351717858</v>
      </c>
      <c r="AS11">
        <v>2581375.859677985</v>
      </c>
      <c r="AT11">
        <v>266382.9060459631</v>
      </c>
      <c r="AU11">
        <v>2287771.231567</v>
      </c>
      <c r="AV11">
        <v>1485303.048314816</v>
      </c>
      <c r="AW11">
        <v>59521.91377946698</v>
      </c>
      <c r="AX11">
        <v>1911137.087490177</v>
      </c>
      <c r="AY11">
        <v>1083614.438127825</v>
      </c>
      <c r="AZ11">
        <v>664263.932251993</v>
      </c>
      <c r="BA11">
        <v>301960.2624483053</v>
      </c>
      <c r="BB11">
        <v>1022066.356346203</v>
      </c>
      <c r="BC11">
        <v>3789002.183373201</v>
      </c>
      <c r="BD11">
        <v>8160364.598485</v>
      </c>
      <c r="BE11">
        <v>1170052.126594975</v>
      </c>
      <c r="BF11">
        <v>1796100.510391716</v>
      </c>
      <c r="BG11">
        <v>300059.797245807</v>
      </c>
      <c r="BH11">
        <v>492176.6766527673</v>
      </c>
      <c r="BI11">
        <v>928882.6604350077</v>
      </c>
      <c r="BJ11">
        <v>274557.9817852002</v>
      </c>
      <c r="BK11">
        <v>246121.5300465863</v>
      </c>
      <c r="BL11">
        <v>1353939.790564791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947012899.2995019</v>
      </c>
      <c r="BT11">
        <v>520833.6833862626</v>
      </c>
      <c r="BU11">
        <v>-25952489.10121343</v>
      </c>
      <c r="BV11">
        <v>595037882.282075</v>
      </c>
      <c r="BW11">
        <f>SUM(B11:BV11)</f>
        <v>2392305146.4110575</v>
      </c>
    </row>
    <row r="12" spans="1:75">
      <c r="A12" t="s">
        <v>9</v>
      </c>
      <c r="B12">
        <v>1441681.073662921</v>
      </c>
      <c r="C12">
        <v>18939.01537590364</v>
      </c>
      <c r="D12">
        <v>31657.80637404901</v>
      </c>
      <c r="E12">
        <v>1376587.450891987</v>
      </c>
      <c r="F12">
        <v>5844669.010480482</v>
      </c>
      <c r="G12">
        <v>2460937.351007476</v>
      </c>
      <c r="H12">
        <v>45440307.3412495</v>
      </c>
      <c r="I12">
        <v>2295748.077610655</v>
      </c>
      <c r="J12">
        <v>471283.0849261693</v>
      </c>
      <c r="K12">
        <v>231512.435518536</v>
      </c>
      <c r="L12">
        <v>1662589.173982569</v>
      </c>
      <c r="M12">
        <v>131345.1098830411</v>
      </c>
      <c r="N12">
        <v>4285018.974227071</v>
      </c>
      <c r="O12">
        <v>9803550.70632481</v>
      </c>
      <c r="P12">
        <v>4072672.417327624</v>
      </c>
      <c r="Q12">
        <v>9361423.316125615</v>
      </c>
      <c r="R12">
        <v>462596.7724233662</v>
      </c>
      <c r="S12">
        <v>4317438.850078112</v>
      </c>
      <c r="T12">
        <v>3287500.666862115</v>
      </c>
      <c r="U12">
        <v>6548590.989719085</v>
      </c>
      <c r="V12">
        <v>1807802.461006959</v>
      </c>
      <c r="W12">
        <v>29512793.42165786</v>
      </c>
      <c r="X12">
        <v>1016397.414734915</v>
      </c>
      <c r="Y12">
        <v>1974993.233045121</v>
      </c>
      <c r="Z12">
        <v>187291.5825803894</v>
      </c>
      <c r="AA12">
        <v>536670.146096494</v>
      </c>
      <c r="AB12">
        <v>63080887.21671826</v>
      </c>
      <c r="AC12">
        <v>1003846.938426357</v>
      </c>
      <c r="AD12">
        <v>5125950.206637167</v>
      </c>
      <c r="AE12">
        <v>3071223.898247099</v>
      </c>
      <c r="AF12">
        <v>4913395.3319549</v>
      </c>
      <c r="AG12">
        <v>352274.612987806</v>
      </c>
      <c r="AH12">
        <v>81007.55425044686</v>
      </c>
      <c r="AI12">
        <v>732395.6368013294</v>
      </c>
      <c r="AJ12">
        <v>171307.5274675196</v>
      </c>
      <c r="AK12">
        <v>2288845.642576477</v>
      </c>
      <c r="AL12">
        <v>33619.76271606558</v>
      </c>
      <c r="AM12">
        <v>73216.67049214183</v>
      </c>
      <c r="AN12">
        <v>66178.43775663737</v>
      </c>
      <c r="AO12">
        <v>158893.2811874439</v>
      </c>
      <c r="AP12">
        <v>27093.07214016446</v>
      </c>
      <c r="AQ12">
        <v>354.7269971079462</v>
      </c>
      <c r="AR12">
        <v>6616.32352858484</v>
      </c>
      <c r="AS12">
        <v>1059138.273403126</v>
      </c>
      <c r="AT12">
        <v>195740.8733041747</v>
      </c>
      <c r="AU12">
        <v>803612.8585993026</v>
      </c>
      <c r="AV12">
        <v>2270640.58794211</v>
      </c>
      <c r="AW12">
        <v>15042.99208000187</v>
      </c>
      <c r="AX12">
        <v>413562.0969229183</v>
      </c>
      <c r="AY12">
        <v>538366.857613354</v>
      </c>
      <c r="AZ12">
        <v>787398.6176661071</v>
      </c>
      <c r="BA12">
        <v>31747.77888533452</v>
      </c>
      <c r="BB12">
        <v>154217.1280760787</v>
      </c>
      <c r="BC12">
        <v>578816.7253054571</v>
      </c>
      <c r="BD12">
        <v>469970.4003047599</v>
      </c>
      <c r="BE12">
        <v>129586.663371553</v>
      </c>
      <c r="BF12">
        <v>479100.503796717</v>
      </c>
      <c r="BG12">
        <v>85126.26282107663</v>
      </c>
      <c r="BH12">
        <v>153285.2303011819</v>
      </c>
      <c r="BI12">
        <v>118302.6582710517</v>
      </c>
      <c r="BJ12">
        <v>34343.08265470139</v>
      </c>
      <c r="BK12">
        <v>112092.1271039851</v>
      </c>
      <c r="BL12">
        <v>247018.7569127895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6041347.466832593</v>
      </c>
      <c r="BT12">
        <v>38147.89537856765</v>
      </c>
      <c r="BU12">
        <v>26461668.70497745</v>
      </c>
      <c r="BV12">
        <v>38279451.30888271</v>
      </c>
      <c r="BW12">
        <f>SUM(B12:BV12)</f>
        <v>299266830.57546544</v>
      </c>
    </row>
    <row r="13" spans="1:75">
      <c r="A13" t="s">
        <v>10</v>
      </c>
      <c r="B13">
        <v>5368480.483121321</v>
      </c>
      <c r="C13">
        <v>192409.9120801567</v>
      </c>
      <c r="D13">
        <v>239391.9236181799</v>
      </c>
      <c r="E13">
        <v>873695.3829205621</v>
      </c>
      <c r="F13">
        <v>24672529.79687889</v>
      </c>
      <c r="G13">
        <v>21819430.30276975</v>
      </c>
      <c r="H13">
        <v>10614533.95880827</v>
      </c>
      <c r="I13">
        <v>91916950.69230774</v>
      </c>
      <c r="J13">
        <v>17842190.54881249</v>
      </c>
      <c r="K13">
        <v>778444.3655888507</v>
      </c>
      <c r="L13">
        <v>13060688.11350056</v>
      </c>
      <c r="M13">
        <v>2309663.867421276</v>
      </c>
      <c r="N13">
        <v>17685331.87925646</v>
      </c>
      <c r="O13">
        <v>6925925.46600082</v>
      </c>
      <c r="P13">
        <v>2471313.030105789</v>
      </c>
      <c r="Q13">
        <v>4332674.610373767</v>
      </c>
      <c r="R13">
        <v>1205311.780219542</v>
      </c>
      <c r="S13">
        <v>4848669.090219327</v>
      </c>
      <c r="T13">
        <v>3896730.871973145</v>
      </c>
      <c r="U13">
        <v>4996601.848907569</v>
      </c>
      <c r="V13">
        <v>914353.8528832798</v>
      </c>
      <c r="W13">
        <v>5299483.532160826</v>
      </c>
      <c r="X13">
        <v>2252005.809973611</v>
      </c>
      <c r="Y13">
        <v>3268146.261704247</v>
      </c>
      <c r="Z13">
        <v>304762.4761850634</v>
      </c>
      <c r="AA13">
        <v>3744652.760517084</v>
      </c>
      <c r="AB13">
        <v>8977965.575364087</v>
      </c>
      <c r="AC13">
        <v>1419269.114422476</v>
      </c>
      <c r="AD13">
        <v>11071977.68108108</v>
      </c>
      <c r="AE13">
        <v>16323624.36574041</v>
      </c>
      <c r="AF13">
        <v>2834580.297755903</v>
      </c>
      <c r="AG13">
        <v>178169.9844853487</v>
      </c>
      <c r="AH13">
        <v>354915.814317562</v>
      </c>
      <c r="AI13">
        <v>1102892.224414728</v>
      </c>
      <c r="AJ13">
        <v>582462.5308721473</v>
      </c>
      <c r="AK13">
        <v>6882640.122935549</v>
      </c>
      <c r="AL13">
        <v>3534178.445204666</v>
      </c>
      <c r="AM13">
        <v>165836.9609528295</v>
      </c>
      <c r="AN13">
        <v>190634.1168661185</v>
      </c>
      <c r="AO13">
        <v>605981.7988713416</v>
      </c>
      <c r="AP13">
        <v>4399177.589346961</v>
      </c>
      <c r="AQ13">
        <v>74429.87554153512</v>
      </c>
      <c r="AR13">
        <v>1556368.87660673</v>
      </c>
      <c r="AS13">
        <v>1134043.845756261</v>
      </c>
      <c r="AT13">
        <v>331087.1362045843</v>
      </c>
      <c r="AU13">
        <v>983400.9014060649</v>
      </c>
      <c r="AV13">
        <v>963774.8633412935</v>
      </c>
      <c r="AW13">
        <v>115170.235903499</v>
      </c>
      <c r="AX13">
        <v>1716066.919088718</v>
      </c>
      <c r="AY13">
        <v>1004480.145031657</v>
      </c>
      <c r="AZ13">
        <v>244597.4930213601</v>
      </c>
      <c r="BA13">
        <v>112553.6163582154</v>
      </c>
      <c r="BB13">
        <v>376978.7688015569</v>
      </c>
      <c r="BC13">
        <v>2338895.424888698</v>
      </c>
      <c r="BD13">
        <v>4727053.131478118</v>
      </c>
      <c r="BE13">
        <v>2891032.292347593</v>
      </c>
      <c r="BF13">
        <v>3431761.805995765</v>
      </c>
      <c r="BG13">
        <v>533327.0993697657</v>
      </c>
      <c r="BH13">
        <v>968562.6791266784</v>
      </c>
      <c r="BI13">
        <v>357905.1820048278</v>
      </c>
      <c r="BJ13">
        <v>176429.0180130892</v>
      </c>
      <c r="BK13">
        <v>113094.7640514021</v>
      </c>
      <c r="BL13">
        <v>658443.4671751275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111344692.9716524</v>
      </c>
      <c r="BT13">
        <v>29251.72417260028</v>
      </c>
      <c r="BU13">
        <v>18811544.50069486</v>
      </c>
      <c r="BV13">
        <v>78424453.0647092</v>
      </c>
      <c r="BW13">
        <f>SUM(B13:BV13)</f>
        <v>543878079.0436814</v>
      </c>
    </row>
    <row r="14" spans="1:75">
      <c r="A14" t="s">
        <v>11</v>
      </c>
      <c r="B14">
        <v>77365.53633018771</v>
      </c>
      <c r="C14">
        <v>116658.7943334104</v>
      </c>
      <c r="D14">
        <v>4884.730573896511</v>
      </c>
      <c r="E14">
        <v>159657.4316117676</v>
      </c>
      <c r="F14">
        <v>6384823.657707665</v>
      </c>
      <c r="G14">
        <v>10999577.08820623</v>
      </c>
      <c r="H14">
        <v>1015000.014528613</v>
      </c>
      <c r="I14">
        <v>4389709.644115482</v>
      </c>
      <c r="J14">
        <v>6258773.634924912</v>
      </c>
      <c r="K14">
        <v>65452.30985588001</v>
      </c>
      <c r="L14">
        <v>723545.8790458408</v>
      </c>
      <c r="M14">
        <v>672914.0836872702</v>
      </c>
      <c r="N14">
        <v>2254134.582996665</v>
      </c>
      <c r="O14">
        <v>652566.4677540739</v>
      </c>
      <c r="P14">
        <v>411605.5454031516</v>
      </c>
      <c r="Q14">
        <v>1064356.262057629</v>
      </c>
      <c r="R14">
        <v>342432.3471470354</v>
      </c>
      <c r="S14">
        <v>1328600.985327641</v>
      </c>
      <c r="T14">
        <v>1106526.132766504</v>
      </c>
      <c r="U14">
        <v>1001381.802119821</v>
      </c>
      <c r="V14">
        <v>352649.6606898452</v>
      </c>
      <c r="W14">
        <v>948311.6890377732</v>
      </c>
      <c r="X14">
        <v>285008.5834421828</v>
      </c>
      <c r="Y14">
        <v>246442.0151714002</v>
      </c>
      <c r="Z14">
        <v>61841.25221511028</v>
      </c>
      <c r="AA14">
        <v>219975.4498767723</v>
      </c>
      <c r="AB14">
        <v>4154812.535732193</v>
      </c>
      <c r="AC14">
        <v>313243.9656540207</v>
      </c>
      <c r="AD14">
        <v>27686776.4355967</v>
      </c>
      <c r="AE14">
        <v>2382072.564497687</v>
      </c>
      <c r="AF14">
        <v>612140.0497825933</v>
      </c>
      <c r="AG14">
        <v>55916.30135470548</v>
      </c>
      <c r="AH14">
        <v>182773.0416636417</v>
      </c>
      <c r="AI14">
        <v>255592.5688586029</v>
      </c>
      <c r="AJ14">
        <v>130851.7013496951</v>
      </c>
      <c r="AK14">
        <v>1177843.972972194</v>
      </c>
      <c r="AL14">
        <v>5748010.69581415</v>
      </c>
      <c r="AM14">
        <v>432397.5844124286</v>
      </c>
      <c r="AN14">
        <v>80102.38120161682</v>
      </c>
      <c r="AO14">
        <v>557206.3053567716</v>
      </c>
      <c r="AP14">
        <v>1909058.867832623</v>
      </c>
      <c r="AQ14">
        <v>103920.8916736862</v>
      </c>
      <c r="AR14">
        <v>1439523.902867208</v>
      </c>
      <c r="AS14">
        <v>313926.2992172912</v>
      </c>
      <c r="AT14">
        <v>50070.02788251533</v>
      </c>
      <c r="AU14">
        <v>461821.8266455047</v>
      </c>
      <c r="AV14">
        <v>348131.6780787179</v>
      </c>
      <c r="AW14">
        <v>15282.13534202636</v>
      </c>
      <c r="AX14">
        <v>2665407.939928349</v>
      </c>
      <c r="AY14">
        <v>872726.9463128496</v>
      </c>
      <c r="AZ14">
        <v>137949.1152605762</v>
      </c>
      <c r="BA14">
        <v>83564.27367770008</v>
      </c>
      <c r="BB14">
        <v>179905.6034956161</v>
      </c>
      <c r="BC14">
        <v>1025018.074822278</v>
      </c>
      <c r="BD14">
        <v>5777865.71167699</v>
      </c>
      <c r="BE14">
        <v>2406814.281186359</v>
      </c>
      <c r="BF14">
        <v>999674.3259963541</v>
      </c>
      <c r="BG14">
        <v>61769.82006422104</v>
      </c>
      <c r="BH14">
        <v>256519.3429501484</v>
      </c>
      <c r="BI14">
        <v>201221.8662512226</v>
      </c>
      <c r="BJ14">
        <v>134311.2982352077</v>
      </c>
      <c r="BK14">
        <v>38947.1270961932</v>
      </c>
      <c r="BL14">
        <v>79263.94338841565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6126489.537086891</v>
      </c>
      <c r="BT14">
        <v>5452.940642118779</v>
      </c>
      <c r="BU14">
        <v>7183072.659633117</v>
      </c>
      <c r="BV14">
        <v>3388742.508303198</v>
      </c>
      <c r="BW14">
        <f>SUM(B14:BV14)</f>
        <v>121180388.63072114</v>
      </c>
    </row>
    <row r="15" spans="1:75">
      <c r="A15" t="s">
        <v>12</v>
      </c>
      <c r="B15">
        <v>35618896.84051202</v>
      </c>
      <c r="C15">
        <v>536628.8993627507</v>
      </c>
      <c r="D15">
        <v>3695003.538442235</v>
      </c>
      <c r="E15">
        <v>12613793.35427264</v>
      </c>
      <c r="F15">
        <v>9488803.718842091</v>
      </c>
      <c r="G15">
        <v>9061391.661410153</v>
      </c>
      <c r="H15">
        <v>2005303.227450994</v>
      </c>
      <c r="I15">
        <v>2308022.211301906</v>
      </c>
      <c r="J15">
        <v>496113.4909575007</v>
      </c>
      <c r="K15">
        <v>21355099.77568867</v>
      </c>
      <c r="L15">
        <v>47283541.24495858</v>
      </c>
      <c r="M15">
        <v>1249328.583847407</v>
      </c>
      <c r="N15">
        <v>12431490.57245813</v>
      </c>
      <c r="O15">
        <v>37453773.20993174</v>
      </c>
      <c r="P15">
        <v>12024093.67378228</v>
      </c>
      <c r="Q15">
        <v>3855092.231871638</v>
      </c>
      <c r="R15">
        <v>479235.3197523296</v>
      </c>
      <c r="S15">
        <v>4925013.66103369</v>
      </c>
      <c r="T15">
        <v>6411239.88092578</v>
      </c>
      <c r="U15">
        <v>7173765.66323477</v>
      </c>
      <c r="V15">
        <v>938445.2081075049</v>
      </c>
      <c r="W15">
        <v>1405027.493344631</v>
      </c>
      <c r="X15">
        <v>1753739.437870709</v>
      </c>
      <c r="Y15">
        <v>14107617.76503797</v>
      </c>
      <c r="Z15">
        <v>1456857.235140359</v>
      </c>
      <c r="AA15">
        <v>2916291.516379712</v>
      </c>
      <c r="AB15">
        <v>91539214.63835724</v>
      </c>
      <c r="AC15">
        <v>10559035.53784769</v>
      </c>
      <c r="AD15">
        <v>80442676.19941257</v>
      </c>
      <c r="AE15">
        <v>27785952.5269558</v>
      </c>
      <c r="AF15">
        <v>238654712.560581</v>
      </c>
      <c r="AG15">
        <v>12326269.22079206</v>
      </c>
      <c r="AH15">
        <v>93938063.0041534</v>
      </c>
      <c r="AI15">
        <v>35397346.77413987</v>
      </c>
      <c r="AJ15">
        <v>9354008.917376608</v>
      </c>
      <c r="AK15">
        <v>6877352.71420763</v>
      </c>
      <c r="AL15">
        <v>64088.39944977318</v>
      </c>
      <c r="AM15">
        <v>116239.0994420082</v>
      </c>
      <c r="AN15">
        <v>321948.1307697517</v>
      </c>
      <c r="AO15">
        <v>324703.5450455332</v>
      </c>
      <c r="AP15">
        <v>543011.2869391741</v>
      </c>
      <c r="AQ15">
        <v>321256.1968218411</v>
      </c>
      <c r="AR15">
        <v>902345.0245018738</v>
      </c>
      <c r="AS15">
        <v>1642198.241516771</v>
      </c>
      <c r="AT15">
        <v>362947.6785140834</v>
      </c>
      <c r="AU15">
        <v>1605601.346986366</v>
      </c>
      <c r="AV15">
        <v>1287166.156462354</v>
      </c>
      <c r="AW15">
        <v>49294.58005103805</v>
      </c>
      <c r="AX15">
        <v>228004.5350764724</v>
      </c>
      <c r="AY15">
        <v>149163.0733466917</v>
      </c>
      <c r="AZ15">
        <v>1577497.225418446</v>
      </c>
      <c r="BA15">
        <v>288169.200127398</v>
      </c>
      <c r="BB15">
        <v>12418286.75088149</v>
      </c>
      <c r="BC15">
        <v>8347002.406223246</v>
      </c>
      <c r="BD15">
        <v>64868560.40094924</v>
      </c>
      <c r="BE15">
        <v>8834972.043147415</v>
      </c>
      <c r="BF15">
        <v>3581095.5806659</v>
      </c>
      <c r="BG15">
        <v>1802850.280621217</v>
      </c>
      <c r="BH15">
        <v>2135983.04504003</v>
      </c>
      <c r="BI15">
        <v>525315.964305633</v>
      </c>
      <c r="BJ15">
        <v>2290431.425191263</v>
      </c>
      <c r="BK15">
        <v>141233.5955031787</v>
      </c>
      <c r="BL15">
        <v>545276.8523746191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148584552.5082392</v>
      </c>
      <c r="BT15">
        <v>12147.85433667101</v>
      </c>
      <c r="BU15">
        <v>76729251.08611606</v>
      </c>
      <c r="BV15">
        <v>280501877.4166595</v>
      </c>
      <c r="BW15">
        <f>SUM(B15:BV15)</f>
        <v>1481020712.4404664</v>
      </c>
    </row>
    <row r="16" spans="1:75">
      <c r="A16" t="s">
        <v>13</v>
      </c>
      <c r="B16">
        <v>111548851.483926</v>
      </c>
      <c r="C16">
        <v>312185.8512560415</v>
      </c>
      <c r="D16">
        <v>270706.0373749703</v>
      </c>
      <c r="E16">
        <v>9255583.250211643</v>
      </c>
      <c r="F16">
        <v>44203988.53995851</v>
      </c>
      <c r="G16">
        <v>116095618.3595904</v>
      </c>
      <c r="H16">
        <v>16143151.48760164</v>
      </c>
      <c r="I16">
        <v>24090676.0858248</v>
      </c>
      <c r="J16">
        <v>5334726.302427951</v>
      </c>
      <c r="K16">
        <v>22051755.36242555</v>
      </c>
      <c r="L16">
        <v>302400550.9278647</v>
      </c>
      <c r="M16">
        <v>19089823.9293853</v>
      </c>
      <c r="N16">
        <v>152854255.1494923</v>
      </c>
      <c r="O16">
        <v>26623068.18370902</v>
      </c>
      <c r="P16">
        <v>22805363.55730501</v>
      </c>
      <c r="Q16">
        <v>20014403.2730202</v>
      </c>
      <c r="R16">
        <v>5780986.309818318</v>
      </c>
      <c r="S16">
        <v>32345166.98326245</v>
      </c>
      <c r="T16">
        <v>14880579.2298571</v>
      </c>
      <c r="U16">
        <v>21707544.99172355</v>
      </c>
      <c r="V16">
        <v>3434038.14555843</v>
      </c>
      <c r="W16">
        <v>9279394.149183972</v>
      </c>
      <c r="X16">
        <v>2489014.206727868</v>
      </c>
      <c r="Y16">
        <v>16105116.19201206</v>
      </c>
      <c r="Z16">
        <v>1223818.716471437</v>
      </c>
      <c r="AA16">
        <v>7332436.55547935</v>
      </c>
      <c r="AB16">
        <v>42700310.6317843</v>
      </c>
      <c r="AC16">
        <v>4210661.319759473</v>
      </c>
      <c r="AD16">
        <v>14372768.76279938</v>
      </c>
      <c r="AE16">
        <v>17022216.16442933</v>
      </c>
      <c r="AF16">
        <v>13252885.48339806</v>
      </c>
      <c r="AG16">
        <v>1045715.492222448</v>
      </c>
      <c r="AH16">
        <v>978616.9059821012</v>
      </c>
      <c r="AI16">
        <v>5575531.830262937</v>
      </c>
      <c r="AJ16">
        <v>1091520.874270613</v>
      </c>
      <c r="AK16">
        <v>8333979.119433927</v>
      </c>
      <c r="AL16">
        <v>310839.3668435625</v>
      </c>
      <c r="AM16">
        <v>117723.5368982977</v>
      </c>
      <c r="AN16">
        <v>190416.0367465265</v>
      </c>
      <c r="AO16">
        <v>489534.7112392465</v>
      </c>
      <c r="AP16">
        <v>476989.4436270717</v>
      </c>
      <c r="AQ16">
        <v>11217.30372143618</v>
      </c>
      <c r="AR16">
        <v>474017.6991126983</v>
      </c>
      <c r="AS16">
        <v>3376019.138735392</v>
      </c>
      <c r="AT16">
        <v>8535411.201477509</v>
      </c>
      <c r="AU16">
        <v>2273227.276829631</v>
      </c>
      <c r="AV16">
        <v>2432118.918812488</v>
      </c>
      <c r="AW16">
        <v>492693.3811144588</v>
      </c>
      <c r="AX16">
        <v>813537.1172529781</v>
      </c>
      <c r="AY16">
        <v>690336.8798530604</v>
      </c>
      <c r="AZ16">
        <v>883212.6442120739</v>
      </c>
      <c r="BA16">
        <v>228298.4494668206</v>
      </c>
      <c r="BB16">
        <v>523775.0042997003</v>
      </c>
      <c r="BC16">
        <v>3161407.645791578</v>
      </c>
      <c r="BD16">
        <v>5958379.021958411</v>
      </c>
      <c r="BE16">
        <v>1407508.485747639</v>
      </c>
      <c r="BF16">
        <v>5747711.700533894</v>
      </c>
      <c r="BG16">
        <v>529796.7017959526</v>
      </c>
      <c r="BH16">
        <v>270316.1011863832</v>
      </c>
      <c r="BI16">
        <v>650893.193907322</v>
      </c>
      <c r="BJ16">
        <v>316347.5929786322</v>
      </c>
      <c r="BK16">
        <v>130012.9228282129</v>
      </c>
      <c r="BL16">
        <v>2153650.312132115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141251548.4532259</v>
      </c>
      <c r="BT16">
        <v>722502.6611638616</v>
      </c>
      <c r="BU16">
        <v>43858364.84103926</v>
      </c>
      <c r="BV16">
        <v>295697422.4437013</v>
      </c>
      <c r="BW16">
        <f>SUM(B16:BV16)</f>
        <v>1640432240.0340443</v>
      </c>
    </row>
    <row r="17" spans="1:75">
      <c r="A17" t="s">
        <v>14</v>
      </c>
      <c r="B17">
        <v>2271583.533623868</v>
      </c>
      <c r="C17">
        <v>5404.08251708392</v>
      </c>
      <c r="D17">
        <v>13764.22779155167</v>
      </c>
      <c r="E17">
        <v>172000.6874625252</v>
      </c>
      <c r="F17">
        <v>5980652.090809196</v>
      </c>
      <c r="G17">
        <v>1522063.097087365</v>
      </c>
      <c r="H17">
        <v>175333.4177778958</v>
      </c>
      <c r="I17">
        <v>931822.6293132282</v>
      </c>
      <c r="J17">
        <v>182318.3354564863</v>
      </c>
      <c r="K17">
        <v>164875.8148202932</v>
      </c>
      <c r="L17">
        <v>5408175.273060621</v>
      </c>
      <c r="M17">
        <v>21216932.14309817</v>
      </c>
      <c r="N17">
        <v>1410221.274668128</v>
      </c>
      <c r="O17">
        <v>458496.7829024211</v>
      </c>
      <c r="P17">
        <v>318182.0529071782</v>
      </c>
      <c r="Q17">
        <v>388191.5176027676</v>
      </c>
      <c r="R17">
        <v>227656.713766184</v>
      </c>
      <c r="S17">
        <v>437864.9537490708</v>
      </c>
      <c r="T17">
        <v>608918.9977744548</v>
      </c>
      <c r="U17">
        <v>694539.9768292296</v>
      </c>
      <c r="V17">
        <v>241045.8421518464</v>
      </c>
      <c r="W17">
        <v>1345526.138846832</v>
      </c>
      <c r="X17">
        <v>320721.998818887</v>
      </c>
      <c r="Y17">
        <v>222479.414593011</v>
      </c>
      <c r="Z17">
        <v>84453.93255684168</v>
      </c>
      <c r="AA17">
        <v>140060.764903986</v>
      </c>
      <c r="AB17">
        <v>2527107.148739459</v>
      </c>
      <c r="AC17">
        <v>383605.4774882181</v>
      </c>
      <c r="AD17">
        <v>1542514.227731621</v>
      </c>
      <c r="AE17">
        <v>607522.4685348031</v>
      </c>
      <c r="AF17">
        <v>2916573.588557186</v>
      </c>
      <c r="AG17">
        <v>171514.5711742987</v>
      </c>
      <c r="AH17">
        <v>135382.619009551</v>
      </c>
      <c r="AI17">
        <v>617466.7898084751</v>
      </c>
      <c r="AJ17">
        <v>422652.8336608865</v>
      </c>
      <c r="AK17">
        <v>717537.881738437</v>
      </c>
      <c r="AL17">
        <v>42557.72304554529</v>
      </c>
      <c r="AM17">
        <v>29628.86733910808</v>
      </c>
      <c r="AN17">
        <v>36660.98123318364</v>
      </c>
      <c r="AO17">
        <v>235038.4631856345</v>
      </c>
      <c r="AP17">
        <v>105578.889652389</v>
      </c>
      <c r="AQ17">
        <v>3007.474797291969</v>
      </c>
      <c r="AR17">
        <v>21833.79883490016</v>
      </c>
      <c r="AS17">
        <v>437924.5455577902</v>
      </c>
      <c r="AT17">
        <v>56996.58799060093</v>
      </c>
      <c r="AU17">
        <v>573911.7108661047</v>
      </c>
      <c r="AV17">
        <v>563226.0982721345</v>
      </c>
      <c r="AW17">
        <v>232911.6479570424</v>
      </c>
      <c r="AX17">
        <v>257359.9237951777</v>
      </c>
      <c r="AY17">
        <v>2370831.011544784</v>
      </c>
      <c r="AZ17">
        <v>152830.2301944798</v>
      </c>
      <c r="BA17">
        <v>53609.68516566188</v>
      </c>
      <c r="BB17">
        <v>105454.5291860789</v>
      </c>
      <c r="BC17">
        <v>371760.1345534255</v>
      </c>
      <c r="BD17">
        <v>452364.4944263836</v>
      </c>
      <c r="BE17">
        <v>1277060.864114854</v>
      </c>
      <c r="BF17">
        <v>34109854.4459698</v>
      </c>
      <c r="BG17">
        <v>93320.08146730924</v>
      </c>
      <c r="BH17">
        <v>129082.2807536794</v>
      </c>
      <c r="BI17">
        <v>592475.7841968139</v>
      </c>
      <c r="BJ17">
        <v>1836572.88619095</v>
      </c>
      <c r="BK17">
        <v>41290.71509462059</v>
      </c>
      <c r="BL17">
        <v>636264.3709389608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71312495.45418951</v>
      </c>
      <c r="BT17">
        <v>112252648.1377103</v>
      </c>
      <c r="BU17">
        <v>-5231193.413699647</v>
      </c>
      <c r="BV17">
        <v>29230557.87030165</v>
      </c>
      <c r="BW17">
        <f>SUM(B17:BV17)</f>
        <v>307369079.5761586</v>
      </c>
    </row>
    <row r="18" spans="1:75">
      <c r="A18" t="s">
        <v>15</v>
      </c>
      <c r="B18">
        <v>6841409.660624638</v>
      </c>
      <c r="C18">
        <v>225209.913369524</v>
      </c>
      <c r="D18">
        <v>128867.892487219</v>
      </c>
      <c r="E18">
        <v>4627575.53148418</v>
      </c>
      <c r="F18">
        <v>26215558.46609766</v>
      </c>
      <c r="G18">
        <v>27682541.8715442</v>
      </c>
      <c r="H18">
        <v>6381299.338355955</v>
      </c>
      <c r="I18">
        <v>13225623.77668147</v>
      </c>
      <c r="J18">
        <v>7013324.520327708</v>
      </c>
      <c r="K18">
        <v>823506.6349002223</v>
      </c>
      <c r="L18">
        <v>11434588.84781251</v>
      </c>
      <c r="M18">
        <v>4442294.253609709</v>
      </c>
      <c r="N18">
        <v>78595506.89407176</v>
      </c>
      <c r="O18">
        <v>18011667.27486338</v>
      </c>
      <c r="P18">
        <v>9380927.839974713</v>
      </c>
      <c r="Q18">
        <v>21926042.79957656</v>
      </c>
      <c r="R18">
        <v>6448738.275821958</v>
      </c>
      <c r="S18">
        <v>24862279.82662929</v>
      </c>
      <c r="T18">
        <v>23712092.78373467</v>
      </c>
      <c r="U18">
        <v>83268719.39164114</v>
      </c>
      <c r="V18">
        <v>5926589.889288533</v>
      </c>
      <c r="W18">
        <v>18334264.57246443</v>
      </c>
      <c r="X18">
        <v>6300768.413054349</v>
      </c>
      <c r="Y18">
        <v>3658402.328794374</v>
      </c>
      <c r="Z18">
        <v>1864628.619997952</v>
      </c>
      <c r="AA18">
        <v>2177779.3749765</v>
      </c>
      <c r="AB18">
        <v>103327771.495657</v>
      </c>
      <c r="AC18">
        <v>27020226.66392724</v>
      </c>
      <c r="AD18">
        <v>14467263.86045557</v>
      </c>
      <c r="AE18">
        <v>10733065.45142311</v>
      </c>
      <c r="AF18">
        <v>14511472.20879592</v>
      </c>
      <c r="AG18">
        <v>630990.2067475196</v>
      </c>
      <c r="AH18">
        <v>639193.9319080416</v>
      </c>
      <c r="AI18">
        <v>2461159.880489102</v>
      </c>
      <c r="AJ18">
        <v>903646.3413498988</v>
      </c>
      <c r="AK18">
        <v>6818976.660503893</v>
      </c>
      <c r="AL18">
        <v>799356.7103526818</v>
      </c>
      <c r="AM18">
        <v>143606.5315925149</v>
      </c>
      <c r="AN18">
        <v>277202.9349562863</v>
      </c>
      <c r="AO18">
        <v>755326.9301526241</v>
      </c>
      <c r="AP18">
        <v>248616.7975908902</v>
      </c>
      <c r="AQ18">
        <v>8986.95267197702</v>
      </c>
      <c r="AR18">
        <v>194133.7019795213</v>
      </c>
      <c r="AS18">
        <v>2163882.762581424</v>
      </c>
      <c r="AT18">
        <v>4140888.208676848</v>
      </c>
      <c r="AU18">
        <v>1297360.44730321</v>
      </c>
      <c r="AV18">
        <v>3977747.629826855</v>
      </c>
      <c r="AW18">
        <v>154083.5344182012</v>
      </c>
      <c r="AX18">
        <v>1641903.287910556</v>
      </c>
      <c r="AY18">
        <v>994123.827852245</v>
      </c>
      <c r="AZ18">
        <v>1702528.103535357</v>
      </c>
      <c r="BA18">
        <v>154732.1800657379</v>
      </c>
      <c r="BB18">
        <v>658751.7415508338</v>
      </c>
      <c r="BC18">
        <v>1744382.9599901</v>
      </c>
      <c r="BD18">
        <v>2440387.694518226</v>
      </c>
      <c r="BE18">
        <v>698647.7185954003</v>
      </c>
      <c r="BF18">
        <v>2341530.777566214</v>
      </c>
      <c r="BG18">
        <v>245038.9312432431</v>
      </c>
      <c r="BH18">
        <v>238808.4648230925</v>
      </c>
      <c r="BI18">
        <v>303151.0473449641</v>
      </c>
      <c r="BJ18">
        <v>144712.9460077136</v>
      </c>
      <c r="BK18">
        <v>384950.9896588019</v>
      </c>
      <c r="BL18">
        <v>595942.773509074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93712304.47457129</v>
      </c>
      <c r="BT18">
        <v>234742.1829628048</v>
      </c>
      <c r="BU18">
        <v>89595771.08104847</v>
      </c>
      <c r="BV18">
        <v>213117680.487689</v>
      </c>
      <c r="BW18">
        <f>SUM(B18:BV18)</f>
        <v>1020135260.5059881</v>
      </c>
    </row>
    <row r="19" spans="1:75">
      <c r="A19" t="s">
        <v>16</v>
      </c>
      <c r="B19">
        <v>5289959.414906686</v>
      </c>
      <c r="C19">
        <v>496332.9117112834</v>
      </c>
      <c r="D19">
        <v>19624.68947633913</v>
      </c>
      <c r="E19">
        <v>12870529.10195206</v>
      </c>
      <c r="F19">
        <v>13336046.84406553</v>
      </c>
      <c r="G19">
        <v>13004028.51298096</v>
      </c>
      <c r="H19">
        <v>5616491.494366233</v>
      </c>
      <c r="I19">
        <v>2953399.35068165</v>
      </c>
      <c r="J19">
        <v>1287384.509968996</v>
      </c>
      <c r="K19">
        <v>14134836.243768</v>
      </c>
      <c r="L19">
        <v>14746702.91051743</v>
      </c>
      <c r="M19">
        <v>2176404.757882065</v>
      </c>
      <c r="N19">
        <v>16726797.79494842</v>
      </c>
      <c r="O19">
        <v>107611151.6017444</v>
      </c>
      <c r="P19">
        <v>17038473.47678263</v>
      </c>
      <c r="Q19">
        <v>16699797.03275441</v>
      </c>
      <c r="R19">
        <v>4613149.115248721</v>
      </c>
      <c r="S19">
        <v>10890630.05500947</v>
      </c>
      <c r="T19">
        <v>13941637.25779673</v>
      </c>
      <c r="U19">
        <v>18155341.30158932</v>
      </c>
      <c r="V19">
        <v>3913133.679361037</v>
      </c>
      <c r="W19">
        <v>12833560.11388434</v>
      </c>
      <c r="X19">
        <v>3630992.763709594</v>
      </c>
      <c r="Y19">
        <v>22880790.92053501</v>
      </c>
      <c r="Z19">
        <v>2013721.669775451</v>
      </c>
      <c r="AA19">
        <v>1950387.723620127</v>
      </c>
      <c r="AB19">
        <v>350579808.6018465</v>
      </c>
      <c r="AC19">
        <v>8607228.245336527</v>
      </c>
      <c r="AD19">
        <v>10434751.04525412</v>
      </c>
      <c r="AE19">
        <v>14241490.15729869</v>
      </c>
      <c r="AF19">
        <v>4119200.374535684</v>
      </c>
      <c r="AG19">
        <v>195608.8698514058</v>
      </c>
      <c r="AH19">
        <v>371896.5516980747</v>
      </c>
      <c r="AI19">
        <v>4286001.954837579</v>
      </c>
      <c r="AJ19">
        <v>609459.7896285334</v>
      </c>
      <c r="AK19">
        <v>8405510.195122359</v>
      </c>
      <c r="AL19">
        <v>117096.0782219958</v>
      </c>
      <c r="AM19">
        <v>170880.4061486448</v>
      </c>
      <c r="AN19">
        <v>193920.7665481781</v>
      </c>
      <c r="AO19">
        <v>855514.127516202</v>
      </c>
      <c r="AP19">
        <v>89223.58325166756</v>
      </c>
      <c r="AQ19">
        <v>1657.616943172346</v>
      </c>
      <c r="AR19">
        <v>31275.15531052403</v>
      </c>
      <c r="AS19">
        <v>6699336.802476998</v>
      </c>
      <c r="AT19">
        <v>20146107.95615718</v>
      </c>
      <c r="AU19">
        <v>1362612.774096344</v>
      </c>
      <c r="AV19">
        <v>8505676.288196635</v>
      </c>
      <c r="AW19">
        <v>102365.1402566137</v>
      </c>
      <c r="AX19">
        <v>775458.146180212</v>
      </c>
      <c r="AY19">
        <v>1074542.781811686</v>
      </c>
      <c r="AZ19">
        <v>1711323.517516773</v>
      </c>
      <c r="BA19">
        <v>186703.6169133284</v>
      </c>
      <c r="BB19">
        <v>2014035.801364729</v>
      </c>
      <c r="BC19">
        <v>2288599.447988117</v>
      </c>
      <c r="BD19">
        <v>6679141.588081055</v>
      </c>
      <c r="BE19">
        <v>493261.0362491271</v>
      </c>
      <c r="BF19">
        <v>6547590.76243575</v>
      </c>
      <c r="BG19">
        <v>248834.3630709871</v>
      </c>
      <c r="BH19">
        <v>181351.9460196937</v>
      </c>
      <c r="BI19">
        <v>443871.4407761958</v>
      </c>
      <c r="BJ19">
        <v>91853.72705258169</v>
      </c>
      <c r="BK19">
        <v>265646.3273367457</v>
      </c>
      <c r="BL19">
        <v>747032.5586306733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58019565.85752869</v>
      </c>
      <c r="BT19">
        <v>283196.3595628725</v>
      </c>
      <c r="BU19">
        <v>56313879.63121033</v>
      </c>
      <c r="BV19">
        <v>145264851.8883411</v>
      </c>
      <c r="BW19">
        <f>SUM(B19:BV19)</f>
        <v>1062588668.5276412</v>
      </c>
    </row>
    <row r="20" spans="1:75">
      <c r="A20" t="s">
        <v>17</v>
      </c>
      <c r="B20">
        <v>2577924.161836162</v>
      </c>
      <c r="C20">
        <v>63322.72690432308</v>
      </c>
      <c r="D20">
        <v>56695.09403015234</v>
      </c>
      <c r="E20">
        <v>13769610.52941756</v>
      </c>
      <c r="F20">
        <v>6851308.34748864</v>
      </c>
      <c r="G20">
        <v>9935437.37425404</v>
      </c>
      <c r="H20">
        <v>7481872.234387874</v>
      </c>
      <c r="I20">
        <v>3063909.245793135</v>
      </c>
      <c r="J20">
        <v>1405593.810047769</v>
      </c>
      <c r="K20">
        <v>5006461.537949758</v>
      </c>
      <c r="L20">
        <v>16567938.31104438</v>
      </c>
      <c r="M20">
        <v>1641973.945994286</v>
      </c>
      <c r="N20">
        <v>25090902.37941653</v>
      </c>
      <c r="O20">
        <v>19114627.81978218</v>
      </c>
      <c r="P20">
        <v>644558351.2920581</v>
      </c>
      <c r="Q20">
        <v>340797414.1888162</v>
      </c>
      <c r="R20">
        <v>10722923.27493587</v>
      </c>
      <c r="S20">
        <v>186046623.5383049</v>
      </c>
      <c r="T20">
        <v>127878424.2992914</v>
      </c>
      <c r="U20">
        <v>216100257.5455797</v>
      </c>
      <c r="V20">
        <v>23794392.64301326</v>
      </c>
      <c r="W20">
        <v>122216147.1363685</v>
      </c>
      <c r="X20">
        <v>13109077.71218494</v>
      </c>
      <c r="Y20">
        <v>29195641.23309057</v>
      </c>
      <c r="Z20">
        <v>1384474.14976718</v>
      </c>
      <c r="AA20">
        <v>5222410.565662807</v>
      </c>
      <c r="AB20">
        <v>431093429.0300559</v>
      </c>
      <c r="AC20">
        <v>13092717.86982521</v>
      </c>
      <c r="AD20">
        <v>13591908.18566464</v>
      </c>
      <c r="AE20">
        <v>8668758.680179663</v>
      </c>
      <c r="AF20">
        <v>19047935.93045636</v>
      </c>
      <c r="AG20">
        <v>1126399.155398309</v>
      </c>
      <c r="AH20">
        <v>730486.1059900799</v>
      </c>
      <c r="AI20">
        <v>1481802.897551666</v>
      </c>
      <c r="AJ20">
        <v>2871025.810118951</v>
      </c>
      <c r="AK20">
        <v>5578883.813983137</v>
      </c>
      <c r="AL20">
        <v>219787.051481359</v>
      </c>
      <c r="AM20">
        <v>90159.87995953952</v>
      </c>
      <c r="AN20">
        <v>229740.0560296797</v>
      </c>
      <c r="AO20">
        <v>658669.9236744681</v>
      </c>
      <c r="AP20">
        <v>1195394.437095236</v>
      </c>
      <c r="AQ20">
        <v>3525.387616208527</v>
      </c>
      <c r="AR20">
        <v>1155875.915367555</v>
      </c>
      <c r="AS20">
        <v>6256728.911431868</v>
      </c>
      <c r="AT20">
        <v>1154029.523158579</v>
      </c>
      <c r="AU20">
        <v>1682719.011785567</v>
      </c>
      <c r="AV20">
        <v>10681228.88183843</v>
      </c>
      <c r="AW20">
        <v>249096.324667626</v>
      </c>
      <c r="AX20">
        <v>1233361.919269655</v>
      </c>
      <c r="AY20">
        <v>901401.3724571259</v>
      </c>
      <c r="AZ20">
        <v>989287.0783677117</v>
      </c>
      <c r="BA20">
        <v>284560.1634129551</v>
      </c>
      <c r="BB20">
        <v>748764.3565005679</v>
      </c>
      <c r="BC20">
        <v>3435415.855988095</v>
      </c>
      <c r="BD20">
        <v>1986701.581170419</v>
      </c>
      <c r="BE20">
        <v>541067.3751657302</v>
      </c>
      <c r="BF20">
        <v>1325560.47636618</v>
      </c>
      <c r="BG20">
        <v>156365.6110494446</v>
      </c>
      <c r="BH20">
        <v>455317.0085464899</v>
      </c>
      <c r="BI20">
        <v>288122.4773227932</v>
      </c>
      <c r="BJ20">
        <v>95864.06958085838</v>
      </c>
      <c r="BK20">
        <v>344726.4957194367</v>
      </c>
      <c r="BL20">
        <v>411556.0115413608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20638793.67863967</v>
      </c>
      <c r="BT20">
        <v>187310.3504680585</v>
      </c>
      <c r="BU20">
        <v>227470602.9943362</v>
      </c>
      <c r="BV20">
        <v>514992787.8485008</v>
      </c>
      <c r="BW20">
        <f>SUM(B20:BV20)</f>
        <v>3131001584.6051536</v>
      </c>
    </row>
    <row r="21" spans="1:75">
      <c r="A21" t="s">
        <v>18</v>
      </c>
      <c r="B21">
        <v>902092.7025279033</v>
      </c>
      <c r="C21">
        <v>172151.4796222307</v>
      </c>
      <c r="D21">
        <v>44087.5112394372</v>
      </c>
      <c r="E21">
        <v>5804128.110376231</v>
      </c>
      <c r="F21">
        <v>6666138.633951825</v>
      </c>
      <c r="G21">
        <v>7759078.363364159</v>
      </c>
      <c r="H21">
        <v>4097641.402802689</v>
      </c>
      <c r="I21">
        <v>2334979.883013308</v>
      </c>
      <c r="J21">
        <v>942344.7314978654</v>
      </c>
      <c r="K21">
        <v>646958.1687932021</v>
      </c>
      <c r="L21">
        <v>3436968.134746944</v>
      </c>
      <c r="M21">
        <v>542229.3841687993</v>
      </c>
      <c r="N21">
        <v>19511143.84646112</v>
      </c>
      <c r="O21">
        <v>15013611.16618734</v>
      </c>
      <c r="P21">
        <v>41458973.46390666</v>
      </c>
      <c r="Q21">
        <v>96262424.53753528</v>
      </c>
      <c r="R21">
        <v>4881940.621823048</v>
      </c>
      <c r="S21">
        <v>28888394.79271746</v>
      </c>
      <c r="T21">
        <v>51480796.69712397</v>
      </c>
      <c r="U21">
        <v>90677590.50393637</v>
      </c>
      <c r="V21">
        <v>19325157.56383047</v>
      </c>
      <c r="W21">
        <v>18078524.44872857</v>
      </c>
      <c r="X21">
        <v>12868487.30461277</v>
      </c>
      <c r="Y21">
        <v>8936658.19813819</v>
      </c>
      <c r="Z21">
        <v>1183888.25599331</v>
      </c>
      <c r="AA21">
        <v>1997181.899499039</v>
      </c>
      <c r="AB21">
        <v>189832900.1095466</v>
      </c>
      <c r="AC21">
        <v>9673236.353042401</v>
      </c>
      <c r="AD21">
        <v>6039543.573790808</v>
      </c>
      <c r="AE21">
        <v>5356718.931903607</v>
      </c>
      <c r="AF21">
        <v>9279688.087846151</v>
      </c>
      <c r="AG21">
        <v>1484225.399185794</v>
      </c>
      <c r="AH21">
        <v>877542.7222047535</v>
      </c>
      <c r="AI21">
        <v>2882919.237069422</v>
      </c>
      <c r="AJ21">
        <v>484511.167103774</v>
      </c>
      <c r="AK21">
        <v>6097137.365617375</v>
      </c>
      <c r="AL21">
        <v>150281.6170591133</v>
      </c>
      <c r="AM21">
        <v>222749.3730617793</v>
      </c>
      <c r="AN21">
        <v>302799.2562319773</v>
      </c>
      <c r="AO21">
        <v>847037.2332050169</v>
      </c>
      <c r="AP21">
        <v>92387.95430864865</v>
      </c>
      <c r="AQ21">
        <v>1899.608445721857</v>
      </c>
      <c r="AR21">
        <v>67436.45275606136</v>
      </c>
      <c r="AS21">
        <v>2672658.31237785</v>
      </c>
      <c r="AT21">
        <v>4141520.046681413</v>
      </c>
      <c r="AU21">
        <v>1033243.680032603</v>
      </c>
      <c r="AV21">
        <v>8622986.352982936</v>
      </c>
      <c r="AW21">
        <v>335873.5966355896</v>
      </c>
      <c r="AX21">
        <v>1143049.615975119</v>
      </c>
      <c r="AY21">
        <v>935437.2938332626</v>
      </c>
      <c r="AZ21">
        <v>1032479.926709237</v>
      </c>
      <c r="BA21">
        <v>121870.0779407849</v>
      </c>
      <c r="BB21">
        <v>331755.0323230543</v>
      </c>
      <c r="BC21">
        <v>1501608.054365893</v>
      </c>
      <c r="BD21">
        <v>9647375.981581725</v>
      </c>
      <c r="BE21">
        <v>499140.5825111566</v>
      </c>
      <c r="BF21">
        <v>1313040.324702984</v>
      </c>
      <c r="BG21">
        <v>231195.4357712494</v>
      </c>
      <c r="BH21">
        <v>353173.7740428926</v>
      </c>
      <c r="BI21">
        <v>443820.5516660128</v>
      </c>
      <c r="BJ21">
        <v>125633.9415964424</v>
      </c>
      <c r="BK21">
        <v>613749.0950344703</v>
      </c>
      <c r="BL21">
        <v>415618.7073460139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59040212.38374002</v>
      </c>
      <c r="BT21">
        <v>253279.6415349555</v>
      </c>
      <c r="BU21">
        <v>346338535.6815127</v>
      </c>
      <c r="BV21">
        <v>281269614.2140025</v>
      </c>
      <c r="BW21">
        <f>SUM(B21:BV21)</f>
        <v>1400023458.5538783</v>
      </c>
    </row>
    <row r="22" spans="1:75">
      <c r="A22" t="s">
        <v>19</v>
      </c>
      <c r="B22">
        <v>293446.3720600228</v>
      </c>
      <c r="C22">
        <v>57135.21825380593</v>
      </c>
      <c r="D22">
        <v>10748.7454079249</v>
      </c>
      <c r="E22">
        <v>1434575.863198633</v>
      </c>
      <c r="F22">
        <v>3111059.845913515</v>
      </c>
      <c r="G22">
        <v>4245671.581371568</v>
      </c>
      <c r="H22">
        <v>453593.5443595411</v>
      </c>
      <c r="I22">
        <v>993519.0668961091</v>
      </c>
      <c r="J22">
        <v>351646.3576700812</v>
      </c>
      <c r="K22">
        <v>310401.3490760078</v>
      </c>
      <c r="L22">
        <v>580419.4894795166</v>
      </c>
      <c r="M22">
        <v>224816.6672862381</v>
      </c>
      <c r="N22">
        <v>2490342.392751413</v>
      </c>
      <c r="O22">
        <v>1932639.432743869</v>
      </c>
      <c r="P22">
        <v>2265742.97554294</v>
      </c>
      <c r="Q22">
        <v>3461253.519191055</v>
      </c>
      <c r="R22">
        <v>60253524.15831825</v>
      </c>
      <c r="S22">
        <v>17219699.59885627</v>
      </c>
      <c r="T22">
        <v>12377414.89633129</v>
      </c>
      <c r="U22">
        <v>8906773.679504592</v>
      </c>
      <c r="V22">
        <v>8246441.463162933</v>
      </c>
      <c r="W22">
        <v>1914941.939575629</v>
      </c>
      <c r="X22">
        <v>5634628.885449507</v>
      </c>
      <c r="Y22">
        <v>13520990.43530933</v>
      </c>
      <c r="Z22">
        <v>560863.2970506647</v>
      </c>
      <c r="AA22">
        <v>2516075.84144695</v>
      </c>
      <c r="AB22">
        <v>25577845.87457747</v>
      </c>
      <c r="AC22">
        <v>1550100.951378421</v>
      </c>
      <c r="AD22">
        <v>2994751.678637461</v>
      </c>
      <c r="AE22">
        <v>1329618.550812501</v>
      </c>
      <c r="AF22">
        <v>2322240.136389364</v>
      </c>
      <c r="AG22">
        <v>1980968.087108055</v>
      </c>
      <c r="AH22">
        <v>1417406.211785112</v>
      </c>
      <c r="AI22">
        <v>6258040.849864499</v>
      </c>
      <c r="AJ22">
        <v>1087315.372206624</v>
      </c>
      <c r="AK22">
        <v>4464406.664061431</v>
      </c>
      <c r="AL22">
        <v>1537251.161020935</v>
      </c>
      <c r="AM22">
        <v>294951.581124586</v>
      </c>
      <c r="AN22">
        <v>9434348.283833707</v>
      </c>
      <c r="AO22">
        <v>12231723.07613388</v>
      </c>
      <c r="AP22">
        <v>351859.7949660724</v>
      </c>
      <c r="AQ22">
        <v>7264.52418124754</v>
      </c>
      <c r="AR22">
        <v>36129.34718657446</v>
      </c>
      <c r="AS22">
        <v>1637973.708796989</v>
      </c>
      <c r="AT22">
        <v>126197.1483397174</v>
      </c>
      <c r="AU22">
        <v>1649382.271027681</v>
      </c>
      <c r="AV22">
        <v>5620812.364855465</v>
      </c>
      <c r="AW22">
        <v>1156649.336667387</v>
      </c>
      <c r="AX22">
        <v>989771.6528112547</v>
      </c>
      <c r="AY22">
        <v>316780.9979967853</v>
      </c>
      <c r="AZ22">
        <v>416294.8490738859</v>
      </c>
      <c r="BA22">
        <v>84147.34121056319</v>
      </c>
      <c r="BB22">
        <v>280436.6980648363</v>
      </c>
      <c r="BC22">
        <v>5565727.207393683</v>
      </c>
      <c r="BD22">
        <v>1521426.931109793</v>
      </c>
      <c r="BE22">
        <v>749434.7174964319</v>
      </c>
      <c r="BF22">
        <v>5699550.971841607</v>
      </c>
      <c r="BG22">
        <v>62353.08978167195</v>
      </c>
      <c r="BH22">
        <v>2403128.652197929</v>
      </c>
      <c r="BI22">
        <v>203155.9043270721</v>
      </c>
      <c r="BJ22">
        <v>352294.9035152867</v>
      </c>
      <c r="BK22">
        <v>4856087.525843974</v>
      </c>
      <c r="BL22">
        <v>225062.7697034203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146296571.9543737</v>
      </c>
      <c r="BT22">
        <v>866186.5781843336</v>
      </c>
      <c r="BU22">
        <v>242820657.9297694</v>
      </c>
      <c r="BV22">
        <v>72092382.58871087</v>
      </c>
      <c r="BW22">
        <f>SUM(B22:BV22)</f>
        <v>722237056.8545693</v>
      </c>
    </row>
    <row r="23" spans="1:75">
      <c r="A23" t="s">
        <v>20</v>
      </c>
      <c r="B23">
        <v>1667968.793586142</v>
      </c>
      <c r="C23">
        <v>30389.76534574168</v>
      </c>
      <c r="D23">
        <v>53792.69473766438</v>
      </c>
      <c r="E23">
        <v>2932340.557162597</v>
      </c>
      <c r="F23">
        <v>6349592.18117185</v>
      </c>
      <c r="G23">
        <v>6226904.321324604</v>
      </c>
      <c r="H23">
        <v>1182476.195897796</v>
      </c>
      <c r="I23">
        <v>2293343.117902249</v>
      </c>
      <c r="J23">
        <v>1001220.029838799</v>
      </c>
      <c r="K23">
        <v>685826.2130916101</v>
      </c>
      <c r="L23">
        <v>2063323.116948412</v>
      </c>
      <c r="M23">
        <v>487929.9546118657</v>
      </c>
      <c r="N23">
        <v>8248696.766098877</v>
      </c>
      <c r="O23">
        <v>6305242.131896053</v>
      </c>
      <c r="P23">
        <v>15780368.4560943</v>
      </c>
      <c r="Q23">
        <v>17183965.17759771</v>
      </c>
      <c r="R23">
        <v>19263374.79161107</v>
      </c>
      <c r="S23">
        <v>106800086.259686</v>
      </c>
      <c r="T23">
        <v>32332124.75391901</v>
      </c>
      <c r="U23">
        <v>58485606.79218826</v>
      </c>
      <c r="V23">
        <v>13778691.13537518</v>
      </c>
      <c r="W23">
        <v>4944395.50883528</v>
      </c>
      <c r="X23">
        <v>16917388.47128287</v>
      </c>
      <c r="Y23">
        <v>18797723.70057403</v>
      </c>
      <c r="Z23">
        <v>1254205.949535714</v>
      </c>
      <c r="AA23">
        <v>1834587.800986712</v>
      </c>
      <c r="AB23">
        <v>93384193.23213737</v>
      </c>
      <c r="AC23">
        <v>9387861.311777381</v>
      </c>
      <c r="AD23">
        <v>12480094.0561344</v>
      </c>
      <c r="AE23">
        <v>3393772.542762053</v>
      </c>
      <c r="AF23">
        <v>6369538.54710775</v>
      </c>
      <c r="AG23">
        <v>745648.5218286597</v>
      </c>
      <c r="AH23">
        <v>1057995.789145144</v>
      </c>
      <c r="AI23">
        <v>4462403.735187043</v>
      </c>
      <c r="AJ23">
        <v>1117757.867503993</v>
      </c>
      <c r="AK23">
        <v>5793013.690563034</v>
      </c>
      <c r="AL23">
        <v>362012.2746435251</v>
      </c>
      <c r="AM23">
        <v>395767.5962105389</v>
      </c>
      <c r="AN23">
        <v>2608130.688653293</v>
      </c>
      <c r="AO23">
        <v>3048645.604760913</v>
      </c>
      <c r="AP23">
        <v>571141.0485263863</v>
      </c>
      <c r="AQ23">
        <v>37656.21088951566</v>
      </c>
      <c r="AR23">
        <v>743516.9736891446</v>
      </c>
      <c r="AS23">
        <v>3000410.611804654</v>
      </c>
      <c r="AT23">
        <v>6490261.262479942</v>
      </c>
      <c r="AU23">
        <v>1791720.906584894</v>
      </c>
      <c r="AV23">
        <v>10658929.58581848</v>
      </c>
      <c r="AW23">
        <v>845923.2522766555</v>
      </c>
      <c r="AX23">
        <v>1558264.623573901</v>
      </c>
      <c r="AY23">
        <v>866132.3382621806</v>
      </c>
      <c r="AZ23">
        <v>950814.2771902874</v>
      </c>
      <c r="BA23">
        <v>114721.2419477397</v>
      </c>
      <c r="BB23">
        <v>367301.8920325489</v>
      </c>
      <c r="BC23">
        <v>2794907.268326124</v>
      </c>
      <c r="BD23">
        <v>7610262.15499664</v>
      </c>
      <c r="BE23">
        <v>1313372.97922451</v>
      </c>
      <c r="BF23">
        <v>2113422.816563873</v>
      </c>
      <c r="BG23">
        <v>416689.3582243839</v>
      </c>
      <c r="BH23">
        <v>682654.1156407016</v>
      </c>
      <c r="BI23">
        <v>411758.3547323957</v>
      </c>
      <c r="BJ23">
        <v>321818.2714804485</v>
      </c>
      <c r="BK23">
        <v>3585396.841102286</v>
      </c>
      <c r="BL23">
        <v>403098.1173800564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259369518.1196462</v>
      </c>
      <c r="BT23">
        <v>655686.9078310602</v>
      </c>
      <c r="BU23">
        <v>170477444.1956478</v>
      </c>
      <c r="BV23">
        <v>342406182.5221866</v>
      </c>
      <c r="BW23">
        <f>SUM(B23:BV23)</f>
        <v>1312067406.343775</v>
      </c>
    </row>
    <row r="24" spans="1:75">
      <c r="A24" t="s">
        <v>21</v>
      </c>
      <c r="B24">
        <v>1274373.864505438</v>
      </c>
      <c r="C24">
        <v>221549.7851944852</v>
      </c>
      <c r="D24">
        <v>62068.01610496621</v>
      </c>
      <c r="E24">
        <v>6816367.524954231</v>
      </c>
      <c r="F24">
        <v>7069536.191883188</v>
      </c>
      <c r="G24">
        <v>9183479.839401994</v>
      </c>
      <c r="H24">
        <v>1556342.465389881</v>
      </c>
      <c r="I24">
        <v>2851181.300134235</v>
      </c>
      <c r="J24">
        <v>874891.1796925905</v>
      </c>
      <c r="K24">
        <v>1069285.87754938</v>
      </c>
      <c r="L24">
        <v>4080710.377692939</v>
      </c>
      <c r="M24">
        <v>833140.301878592</v>
      </c>
      <c r="N24">
        <v>8313334.951905971</v>
      </c>
      <c r="O24">
        <v>8128260.476537844</v>
      </c>
      <c r="P24">
        <v>15785997.96828852</v>
      </c>
      <c r="Q24">
        <v>19005265.0059177</v>
      </c>
      <c r="R24">
        <v>2906534.993288554</v>
      </c>
      <c r="S24">
        <v>18048540.66518546</v>
      </c>
      <c r="T24">
        <v>72809217.47548293</v>
      </c>
      <c r="U24">
        <v>35626603.92750518</v>
      </c>
      <c r="V24">
        <v>8617779.106317542</v>
      </c>
      <c r="W24">
        <v>3959490.257123265</v>
      </c>
      <c r="X24">
        <v>16497130.18064195</v>
      </c>
      <c r="Y24">
        <v>5513121.908830058</v>
      </c>
      <c r="Z24">
        <v>967333.7942314993</v>
      </c>
      <c r="AA24">
        <v>1573447.974269394</v>
      </c>
      <c r="AB24">
        <v>51352249.08494968</v>
      </c>
      <c r="AC24">
        <v>19249365.04371046</v>
      </c>
      <c r="AD24">
        <v>3401769.633433076</v>
      </c>
      <c r="AE24">
        <v>2364879.477643498</v>
      </c>
      <c r="AF24">
        <v>8828218.085980754</v>
      </c>
      <c r="AG24">
        <v>969546.5808919115</v>
      </c>
      <c r="AH24">
        <v>1637428.468093202</v>
      </c>
      <c r="AI24">
        <v>3972130.368390754</v>
      </c>
      <c r="AJ24">
        <v>661573.2799677636</v>
      </c>
      <c r="AK24">
        <v>2679581.328695376</v>
      </c>
      <c r="AL24">
        <v>147050.2864095046</v>
      </c>
      <c r="AM24">
        <v>103441.5328751237</v>
      </c>
      <c r="AN24">
        <v>255373.7799351488</v>
      </c>
      <c r="AO24">
        <v>1166805.17613634</v>
      </c>
      <c r="AP24">
        <v>264544.0175323323</v>
      </c>
      <c r="AQ24">
        <v>3033.692113959524</v>
      </c>
      <c r="AR24">
        <v>57788.10583654721</v>
      </c>
      <c r="AS24">
        <v>1311865.585003222</v>
      </c>
      <c r="AT24">
        <v>2382959.367327644</v>
      </c>
      <c r="AU24">
        <v>858295.3504567554</v>
      </c>
      <c r="AV24">
        <v>4102165.555446205</v>
      </c>
      <c r="AW24">
        <v>475328.8365122484</v>
      </c>
      <c r="AX24">
        <v>385879.0354838978</v>
      </c>
      <c r="AY24">
        <v>329214.309739397</v>
      </c>
      <c r="AZ24">
        <v>1394461.038010883</v>
      </c>
      <c r="BA24">
        <v>107050.7751957661</v>
      </c>
      <c r="BB24">
        <v>178565.7569563575</v>
      </c>
      <c r="BC24">
        <v>919164.954927118</v>
      </c>
      <c r="BD24">
        <v>1281566.854304198</v>
      </c>
      <c r="BE24">
        <v>344701.6108101349</v>
      </c>
      <c r="BF24">
        <v>2035843.83009792</v>
      </c>
      <c r="BG24">
        <v>403773.6528430773</v>
      </c>
      <c r="BH24">
        <v>310512.3072372178</v>
      </c>
      <c r="BI24">
        <v>269522.4550056814</v>
      </c>
      <c r="BJ24">
        <v>159972.7261820454</v>
      </c>
      <c r="BK24">
        <v>961293.775328157</v>
      </c>
      <c r="BL24">
        <v>231833.9306150106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31879128.91817586</v>
      </c>
      <c r="BT24">
        <v>469385.003790873</v>
      </c>
      <c r="BU24">
        <v>808206235.1584671</v>
      </c>
      <c r="BV24">
        <v>336039094.9424783</v>
      </c>
      <c r="BW24">
        <f>SUM(B24:BV24)</f>
        <v>1545797579.0828981</v>
      </c>
    </row>
    <row r="25" spans="1:75">
      <c r="A25" t="s">
        <v>22</v>
      </c>
      <c r="B25">
        <v>3006296.612583544</v>
      </c>
      <c r="C25">
        <v>109547.0222600951</v>
      </c>
      <c r="D25">
        <v>17955.45680478498</v>
      </c>
      <c r="E25">
        <v>2991462.306005409</v>
      </c>
      <c r="F25">
        <v>2753971.709424255</v>
      </c>
      <c r="G25">
        <v>4359793.865669302</v>
      </c>
      <c r="H25">
        <v>590465.4258444082</v>
      </c>
      <c r="I25">
        <v>883158.9857910021</v>
      </c>
      <c r="J25">
        <v>378820.9902743622</v>
      </c>
      <c r="K25">
        <v>441116.7686301561</v>
      </c>
      <c r="L25">
        <v>1159473.9992973</v>
      </c>
      <c r="M25">
        <v>231614.2584728876</v>
      </c>
      <c r="N25">
        <v>12656398.16428081</v>
      </c>
      <c r="O25">
        <v>5587817.668560576</v>
      </c>
      <c r="P25">
        <v>4891381.096623983</v>
      </c>
      <c r="Q25">
        <v>10737109.19343727</v>
      </c>
      <c r="R25">
        <v>1136735.672901134</v>
      </c>
      <c r="S25">
        <v>24839100.78571116</v>
      </c>
      <c r="T25">
        <v>37827422.87665565</v>
      </c>
      <c r="U25">
        <v>212177214.3653145</v>
      </c>
      <c r="V25">
        <v>6472756.646946904</v>
      </c>
      <c r="W25">
        <v>2100265.69724692</v>
      </c>
      <c r="X25">
        <v>4895708.244289886</v>
      </c>
      <c r="Y25">
        <v>1690545.608031555</v>
      </c>
      <c r="Z25">
        <v>482925.640240676</v>
      </c>
      <c r="AA25">
        <v>2019543.951267493</v>
      </c>
      <c r="AB25">
        <v>25852232.04944026</v>
      </c>
      <c r="AC25">
        <v>63435136.74563777</v>
      </c>
      <c r="AD25">
        <v>2900991.312935164</v>
      </c>
      <c r="AE25">
        <v>3454318.125477099</v>
      </c>
      <c r="AF25">
        <v>25393786.27018381</v>
      </c>
      <c r="AG25">
        <v>1003457.058910256</v>
      </c>
      <c r="AH25">
        <v>407419.46948457</v>
      </c>
      <c r="AI25">
        <v>2584725.562691682</v>
      </c>
      <c r="AJ25">
        <v>1386624.331820491</v>
      </c>
      <c r="AK25">
        <v>2597575.993724952</v>
      </c>
      <c r="AL25">
        <v>133535.5230034983</v>
      </c>
      <c r="AM25">
        <v>74464.3658302664</v>
      </c>
      <c r="AN25">
        <v>331954.7188156344</v>
      </c>
      <c r="AO25">
        <v>545508.5931275694</v>
      </c>
      <c r="AP25">
        <v>60236.70653418264</v>
      </c>
      <c r="AQ25">
        <v>1805.652659337034</v>
      </c>
      <c r="AR25">
        <v>18674.94269915124</v>
      </c>
      <c r="AS25">
        <v>1128052.795449896</v>
      </c>
      <c r="AT25">
        <v>403096.8289945765</v>
      </c>
      <c r="AU25">
        <v>1051014.729899948</v>
      </c>
      <c r="AV25">
        <v>1575686.792071293</v>
      </c>
      <c r="AW25">
        <v>177676.7495509252</v>
      </c>
      <c r="AX25">
        <v>286343.8573262094</v>
      </c>
      <c r="AY25">
        <v>295308.7358598931</v>
      </c>
      <c r="AZ25">
        <v>3115657.482007753</v>
      </c>
      <c r="BA25">
        <v>97426.32779405115</v>
      </c>
      <c r="BB25">
        <v>395661.2067549705</v>
      </c>
      <c r="BC25">
        <v>837907.2241510474</v>
      </c>
      <c r="BD25">
        <v>817284.242758167</v>
      </c>
      <c r="BE25">
        <v>239675.3544695422</v>
      </c>
      <c r="BF25">
        <v>814369.0516834849</v>
      </c>
      <c r="BG25">
        <v>415147.5509790449</v>
      </c>
      <c r="BH25">
        <v>1160063.411566522</v>
      </c>
      <c r="BI25">
        <v>171258.9234667198</v>
      </c>
      <c r="BJ25">
        <v>196089.3157603419</v>
      </c>
      <c r="BK25">
        <v>459935.5519537427</v>
      </c>
      <c r="BL25">
        <v>320355.0279161924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481713488.0810448</v>
      </c>
      <c r="BT25">
        <v>691740.2526811475</v>
      </c>
      <c r="BU25">
        <v>761185616.0675256</v>
      </c>
      <c r="BV25">
        <v>605243067.3782684</v>
      </c>
      <c r="BW25">
        <f>SUM(B25:BV25)</f>
        <v>2337412973.3754764</v>
      </c>
    </row>
    <row r="26" spans="1:75">
      <c r="A26" t="s">
        <v>23</v>
      </c>
      <c r="B26">
        <v>40213.09760912404</v>
      </c>
      <c r="C26">
        <v>12021.11867714614</v>
      </c>
      <c r="D26">
        <v>184679.1677074117</v>
      </c>
      <c r="E26">
        <v>508546.1225011963</v>
      </c>
      <c r="F26">
        <v>656873.4858153797</v>
      </c>
      <c r="G26">
        <v>603347.6417724959</v>
      </c>
      <c r="H26">
        <v>120691.751556879</v>
      </c>
      <c r="I26">
        <v>259248.2886307155</v>
      </c>
      <c r="J26">
        <v>96212.85334617921</v>
      </c>
      <c r="K26">
        <v>190533.1479158636</v>
      </c>
      <c r="L26">
        <v>233792.118196439</v>
      </c>
      <c r="M26">
        <v>65670.09158896378</v>
      </c>
      <c r="N26">
        <v>610437.6911181137</v>
      </c>
      <c r="O26">
        <v>715460.810740559</v>
      </c>
      <c r="P26">
        <v>1267932.619295958</v>
      </c>
      <c r="Q26">
        <v>2064661.821215635</v>
      </c>
      <c r="R26">
        <v>2853309.131739913</v>
      </c>
      <c r="S26">
        <v>1273967.250148188</v>
      </c>
      <c r="T26">
        <v>3060291.502023743</v>
      </c>
      <c r="U26">
        <v>2358900.705838521</v>
      </c>
      <c r="V26">
        <v>24457827.68673723</v>
      </c>
      <c r="W26">
        <v>522571.7450237842</v>
      </c>
      <c r="X26">
        <v>3775475.533644659</v>
      </c>
      <c r="Y26">
        <v>968766.1845387231</v>
      </c>
      <c r="Z26">
        <v>183944.3500154023</v>
      </c>
      <c r="AA26">
        <v>254794.4801279766</v>
      </c>
      <c r="AB26">
        <v>5353373.572065774</v>
      </c>
      <c r="AC26">
        <v>1971984.02881145</v>
      </c>
      <c r="AD26">
        <v>810573.5655253337</v>
      </c>
      <c r="AE26">
        <v>832381.3037091211</v>
      </c>
      <c r="AF26">
        <v>720837.9720358516</v>
      </c>
      <c r="AG26">
        <v>966324.6000541445</v>
      </c>
      <c r="AH26">
        <v>5000426.766417982</v>
      </c>
      <c r="AI26">
        <v>1113250.481427498</v>
      </c>
      <c r="AJ26">
        <v>217965.4904792108</v>
      </c>
      <c r="AK26">
        <v>521310.4312513773</v>
      </c>
      <c r="AL26">
        <v>71888.2984611807</v>
      </c>
      <c r="AM26">
        <v>20348.31507139005</v>
      </c>
      <c r="AN26">
        <v>127030.2902030592</v>
      </c>
      <c r="AO26">
        <v>600564.2014769847</v>
      </c>
      <c r="AP26">
        <v>259026.0108399341</v>
      </c>
      <c r="AQ26">
        <v>5029.634546056619</v>
      </c>
      <c r="AR26">
        <v>57035.70058673143</v>
      </c>
      <c r="AS26">
        <v>730116.1808845155</v>
      </c>
      <c r="AT26">
        <v>27653.63725286329</v>
      </c>
      <c r="AU26">
        <v>249647.6568169786</v>
      </c>
      <c r="AV26">
        <v>1487939.124135701</v>
      </c>
      <c r="AW26">
        <v>188642.4965674003</v>
      </c>
      <c r="AX26">
        <v>92263.98642898964</v>
      </c>
      <c r="AY26">
        <v>104421.3405556519</v>
      </c>
      <c r="AZ26">
        <v>122444.9467551522</v>
      </c>
      <c r="BA26">
        <v>15476.33141711803</v>
      </c>
      <c r="BB26">
        <v>41750.29551549966</v>
      </c>
      <c r="BC26">
        <v>202345.5555326088</v>
      </c>
      <c r="BD26">
        <v>480044.7999433455</v>
      </c>
      <c r="BE26">
        <v>137589.8529823072</v>
      </c>
      <c r="BF26">
        <v>688781.0240855125</v>
      </c>
      <c r="BG26">
        <v>16118.85676321461</v>
      </c>
      <c r="BH26">
        <v>623986.9530567048</v>
      </c>
      <c r="BI26">
        <v>77367.0221046814</v>
      </c>
      <c r="BJ26">
        <v>14052.30208274633</v>
      </c>
      <c r="BK26">
        <v>231252.0022469983</v>
      </c>
      <c r="BL26">
        <v>41528.42904593668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32888486.22972909</v>
      </c>
      <c r="BT26">
        <v>1267624.933188923</v>
      </c>
      <c r="BU26">
        <v>358675557.9419376</v>
      </c>
      <c r="BV26">
        <v>142455699.6188955</v>
      </c>
      <c r="BW26">
        <f>SUM(B26:BV26)</f>
        <v>606850312.5784143</v>
      </c>
    </row>
    <row r="27" spans="1:75">
      <c r="A27" t="s">
        <v>24</v>
      </c>
      <c r="B27">
        <v>963008.2376266593</v>
      </c>
      <c r="C27">
        <v>18269.77445667018</v>
      </c>
      <c r="D27">
        <v>23559.33922400593</v>
      </c>
      <c r="E27">
        <v>462599.0578705556</v>
      </c>
      <c r="F27">
        <v>1879052.95155406</v>
      </c>
      <c r="G27">
        <v>6911433.502015832</v>
      </c>
      <c r="H27">
        <v>1768886.281266859</v>
      </c>
      <c r="I27">
        <v>744064.21100115</v>
      </c>
      <c r="J27">
        <v>366267.7973959134</v>
      </c>
      <c r="K27">
        <v>98583.70103501098</v>
      </c>
      <c r="L27">
        <v>1127163.212720764</v>
      </c>
      <c r="M27">
        <v>1501241.208423086</v>
      </c>
      <c r="N27">
        <v>2191574.526124095</v>
      </c>
      <c r="O27">
        <v>1395618.8776255</v>
      </c>
      <c r="P27">
        <v>1288022.982066779</v>
      </c>
      <c r="Q27">
        <v>3853628.664507186</v>
      </c>
      <c r="R27">
        <v>525933.1689066561</v>
      </c>
      <c r="S27">
        <v>1944591.993148311</v>
      </c>
      <c r="T27">
        <v>2390787.093516659</v>
      </c>
      <c r="U27">
        <v>5112527.568208583</v>
      </c>
      <c r="V27">
        <v>978593.5650211878</v>
      </c>
      <c r="W27">
        <v>21914487.80020574</v>
      </c>
      <c r="X27">
        <v>959539.9159125512</v>
      </c>
      <c r="Y27">
        <v>1384229.598020248</v>
      </c>
      <c r="Z27">
        <v>581000.0900147554</v>
      </c>
      <c r="AA27">
        <v>1072034.621030261</v>
      </c>
      <c r="AB27">
        <v>19666378.10691907</v>
      </c>
      <c r="AC27">
        <v>1459407.851172639</v>
      </c>
      <c r="AD27">
        <v>1442810.284431407</v>
      </c>
      <c r="AE27">
        <v>7320946.545714228</v>
      </c>
      <c r="AF27">
        <v>2701495.217029371</v>
      </c>
      <c r="AG27">
        <v>195408.7161525943</v>
      </c>
      <c r="AH27">
        <v>116698.9447027433</v>
      </c>
      <c r="AI27">
        <v>1235472.182860867</v>
      </c>
      <c r="AJ27">
        <v>414678.1980746883</v>
      </c>
      <c r="AK27">
        <v>2850201.675800065</v>
      </c>
      <c r="AL27">
        <v>162847.6867899199</v>
      </c>
      <c r="AM27">
        <v>159365.1709919827</v>
      </c>
      <c r="AN27">
        <v>110505.6124587274</v>
      </c>
      <c r="AO27">
        <v>368511.6507385593</v>
      </c>
      <c r="AP27">
        <v>186677.8876422587</v>
      </c>
      <c r="AQ27">
        <v>4589.734588879207</v>
      </c>
      <c r="AR27">
        <v>141798.1179703777</v>
      </c>
      <c r="AS27">
        <v>1774862.764571474</v>
      </c>
      <c r="AT27">
        <v>257982.5358710102</v>
      </c>
      <c r="AU27">
        <v>655436.7396067263</v>
      </c>
      <c r="AV27">
        <v>1762085.797865232</v>
      </c>
      <c r="AW27">
        <v>471019.336019521</v>
      </c>
      <c r="AX27">
        <v>867059.8314020743</v>
      </c>
      <c r="AY27">
        <v>888203.548205938</v>
      </c>
      <c r="AZ27">
        <v>619818.3823692062</v>
      </c>
      <c r="BA27">
        <v>143591.2987498793</v>
      </c>
      <c r="BB27">
        <v>240034.7765996208</v>
      </c>
      <c r="BC27">
        <v>815345.7860676701</v>
      </c>
      <c r="BD27">
        <v>2591623.331741939</v>
      </c>
      <c r="BE27">
        <v>1875669.07094925</v>
      </c>
      <c r="BF27">
        <v>44049084.44942628</v>
      </c>
      <c r="BG27">
        <v>366438.1608729704</v>
      </c>
      <c r="BH27">
        <v>406883.1510120216</v>
      </c>
      <c r="BI27">
        <v>316492.8943556271</v>
      </c>
      <c r="BJ27">
        <v>191799.3315012248</v>
      </c>
      <c r="BK27">
        <v>415400.2170039994</v>
      </c>
      <c r="BL27">
        <v>432768.0335859653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360862411.8862391</v>
      </c>
      <c r="BT27">
        <v>5614516.245713606</v>
      </c>
      <c r="BU27">
        <v>47841799.39528412</v>
      </c>
      <c r="BV27">
        <v>173715389.7296107</v>
      </c>
      <c r="BW27">
        <f>SUM(B27:BV27)</f>
        <v>747170210.0175626</v>
      </c>
    </row>
    <row r="28" spans="1:75">
      <c r="A28" t="s">
        <v>25</v>
      </c>
      <c r="B28">
        <v>531859.5504367882</v>
      </c>
      <c r="C28">
        <v>17590.40493077431</v>
      </c>
      <c r="D28">
        <v>1503571.321474535</v>
      </c>
      <c r="E28">
        <v>2264341.716972896</v>
      </c>
      <c r="F28">
        <v>2589544.971050294</v>
      </c>
      <c r="G28">
        <v>2330944.276575115</v>
      </c>
      <c r="H28">
        <v>391720.9508773006</v>
      </c>
      <c r="I28">
        <v>1006533.700852587</v>
      </c>
      <c r="J28">
        <v>189435.7427418146</v>
      </c>
      <c r="K28">
        <v>1193138.483729979</v>
      </c>
      <c r="L28">
        <v>1686141.993685424</v>
      </c>
      <c r="M28">
        <v>173971.5474234727</v>
      </c>
      <c r="N28">
        <v>1900140.62823505</v>
      </c>
      <c r="O28">
        <v>3218957.48935921</v>
      </c>
      <c r="P28">
        <v>2874565.839062896</v>
      </c>
      <c r="Q28">
        <v>3493123.343856229</v>
      </c>
      <c r="R28">
        <v>959494.9062929896</v>
      </c>
      <c r="S28">
        <v>3133680.76218597</v>
      </c>
      <c r="T28">
        <v>6560184.083445033</v>
      </c>
      <c r="U28">
        <v>5329424.142478888</v>
      </c>
      <c r="V28">
        <v>10759298.74378392</v>
      </c>
      <c r="W28">
        <v>729486.7068332379</v>
      </c>
      <c r="X28">
        <v>13879597.02986477</v>
      </c>
      <c r="Y28">
        <v>4505946.34465286</v>
      </c>
      <c r="Z28">
        <v>339344.2335771162</v>
      </c>
      <c r="AA28">
        <v>578362.2129160311</v>
      </c>
      <c r="AB28">
        <v>15068766.63866569</v>
      </c>
      <c r="AC28">
        <v>896919.0783656996</v>
      </c>
      <c r="AD28">
        <v>4753522.49115803</v>
      </c>
      <c r="AE28">
        <v>1124955.343114206</v>
      </c>
      <c r="AF28">
        <v>2471135.169141408</v>
      </c>
      <c r="AG28">
        <v>2929486.911752417</v>
      </c>
      <c r="AH28">
        <v>41879951.60983115</v>
      </c>
      <c r="AI28">
        <v>1635895.229810351</v>
      </c>
      <c r="AJ28">
        <v>133954.9987485012</v>
      </c>
      <c r="AK28">
        <v>1520713.134547617</v>
      </c>
      <c r="AL28">
        <v>27436.15163186867</v>
      </c>
      <c r="AM28">
        <v>43863.02983512801</v>
      </c>
      <c r="AN28">
        <v>174659.2177405618</v>
      </c>
      <c r="AO28">
        <v>338772.4513094685</v>
      </c>
      <c r="AP28">
        <v>2435621.40287449</v>
      </c>
      <c r="AQ28">
        <v>42971.39757225534</v>
      </c>
      <c r="AR28">
        <v>559347.1517343333</v>
      </c>
      <c r="AS28">
        <v>711698.3944540051</v>
      </c>
      <c r="AT28">
        <v>102210.3787650135</v>
      </c>
      <c r="AU28">
        <v>285687.2219610129</v>
      </c>
      <c r="AV28">
        <v>1266676.315179506</v>
      </c>
      <c r="AW28">
        <v>79957.3949166603</v>
      </c>
      <c r="AX28">
        <v>92815.33860332565</v>
      </c>
      <c r="AY28">
        <v>126384.1632494043</v>
      </c>
      <c r="AZ28">
        <v>388876.2019214277</v>
      </c>
      <c r="BA28">
        <v>31675.07143653898</v>
      </c>
      <c r="BB28">
        <v>97836.81035929541</v>
      </c>
      <c r="BC28">
        <v>329423.605691782</v>
      </c>
      <c r="BD28">
        <v>655012.878960695</v>
      </c>
      <c r="BE28">
        <v>725042.6788305442</v>
      </c>
      <c r="BF28">
        <v>5247315.246868325</v>
      </c>
      <c r="BG28">
        <v>29009.54786727076</v>
      </c>
      <c r="BH28">
        <v>79390.77491463344</v>
      </c>
      <c r="BI28">
        <v>201022.043241127</v>
      </c>
      <c r="BJ28">
        <v>11869.09494815317</v>
      </c>
      <c r="BK28">
        <v>167605.5944532279</v>
      </c>
      <c r="BL28">
        <v>108689.1666090048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7165160.252301013</v>
      </c>
      <c r="BT28">
        <v>86315.83842793072</v>
      </c>
      <c r="BU28">
        <v>136619178.1565848</v>
      </c>
      <c r="BV28">
        <v>53391059.58053222</v>
      </c>
      <c r="BW28">
        <f>SUM(B28:BV28)</f>
        <v>356178284.2862053</v>
      </c>
    </row>
    <row r="29" spans="1:75">
      <c r="A29" t="s">
        <v>26</v>
      </c>
      <c r="B29">
        <v>17581300.00051299</v>
      </c>
      <c r="C29">
        <v>373962.4319372582</v>
      </c>
      <c r="D29">
        <v>1582983.020713004</v>
      </c>
      <c r="E29">
        <v>25643355.37057649</v>
      </c>
      <c r="F29">
        <v>45596849.85491434</v>
      </c>
      <c r="G29">
        <v>75056524.50226359</v>
      </c>
      <c r="H29">
        <v>7816696.917538278</v>
      </c>
      <c r="I29">
        <v>14777131.63689855</v>
      </c>
      <c r="J29">
        <v>3423177.901925246</v>
      </c>
      <c r="K29">
        <v>13705969.57724869</v>
      </c>
      <c r="L29">
        <v>11472635.4706298</v>
      </c>
      <c r="M29">
        <v>1973753.07603704</v>
      </c>
      <c r="N29">
        <v>31821098.01453728</v>
      </c>
      <c r="O29">
        <v>64356554.53509177</v>
      </c>
      <c r="P29">
        <v>69939341.8350684</v>
      </c>
      <c r="Q29">
        <v>23405547.89010819</v>
      </c>
      <c r="R29">
        <v>6711197.471757163</v>
      </c>
      <c r="S29">
        <v>9858341.730395265</v>
      </c>
      <c r="T29">
        <v>13123126.46431122</v>
      </c>
      <c r="U29">
        <v>23208115.17514985</v>
      </c>
      <c r="V29">
        <v>5880890.107482194</v>
      </c>
      <c r="W29">
        <v>6589348.695421005</v>
      </c>
      <c r="X29">
        <v>4170635.249066617</v>
      </c>
      <c r="Y29">
        <v>1241028026.068522</v>
      </c>
      <c r="Z29">
        <v>11220221.48883749</v>
      </c>
      <c r="AA29">
        <v>6420155.665563656</v>
      </c>
      <c r="AB29">
        <v>112294274.4809728</v>
      </c>
      <c r="AC29">
        <v>2026042.173194027</v>
      </c>
      <c r="AD29">
        <v>21596231.92676131</v>
      </c>
      <c r="AE29">
        <v>47048157.84351699</v>
      </c>
      <c r="AF29">
        <v>19406716.01731289</v>
      </c>
      <c r="AG29">
        <v>1063052.156419835</v>
      </c>
      <c r="AH29">
        <v>680746.0175552367</v>
      </c>
      <c r="AI29">
        <v>12912076.77038913</v>
      </c>
      <c r="AJ29">
        <v>1820873.31256585</v>
      </c>
      <c r="AK29">
        <v>35994306.78741805</v>
      </c>
      <c r="AL29">
        <v>628042.4051972663</v>
      </c>
      <c r="AM29">
        <v>472785.30304084</v>
      </c>
      <c r="AN29">
        <v>12318151.36738071</v>
      </c>
      <c r="AO29">
        <v>1590627.89227688</v>
      </c>
      <c r="AP29">
        <v>19492780.46096499</v>
      </c>
      <c r="AQ29">
        <v>26003.6590779283</v>
      </c>
      <c r="AR29">
        <v>1545494.9750221</v>
      </c>
      <c r="AS29">
        <v>237860984.0049331</v>
      </c>
      <c r="AT29">
        <v>70921.62538327997</v>
      </c>
      <c r="AU29">
        <v>5255050.633499825</v>
      </c>
      <c r="AV29">
        <v>8816682.43938724</v>
      </c>
      <c r="AW29">
        <v>304838.6382803866</v>
      </c>
      <c r="AX29">
        <v>859194.9782434793</v>
      </c>
      <c r="AY29">
        <v>414156.4549059914</v>
      </c>
      <c r="AZ29">
        <v>628444.8621495891</v>
      </c>
      <c r="BA29">
        <v>360734.4163830341</v>
      </c>
      <c r="BB29">
        <v>898185.7137878758</v>
      </c>
      <c r="BC29">
        <v>7277445.241401291</v>
      </c>
      <c r="BD29">
        <v>46593704.51796021</v>
      </c>
      <c r="BE29">
        <v>22323471.7516139</v>
      </c>
      <c r="BF29">
        <v>22675684.28308026</v>
      </c>
      <c r="BG29">
        <v>1055899.558637946</v>
      </c>
      <c r="BH29">
        <v>3335040.7470215</v>
      </c>
      <c r="BI29">
        <v>3299842.854436525</v>
      </c>
      <c r="BJ29">
        <v>2468247.711515117</v>
      </c>
      <c r="BK29">
        <v>438030.4247490782</v>
      </c>
      <c r="BL29">
        <v>1786882.287994706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295071890.0630727</v>
      </c>
      <c r="BT29">
        <v>57718.52266715813</v>
      </c>
      <c r="BU29">
        <v>28136852.86411503</v>
      </c>
      <c r="BV29">
        <v>7536504.002004385</v>
      </c>
      <c r="BW29">
        <f>SUM(B29:BV29)</f>
        <v>2725179712.2987976</v>
      </c>
    </row>
    <row r="30" spans="1:75">
      <c r="A30" t="s">
        <v>27</v>
      </c>
      <c r="B30">
        <v>1309709.932586541</v>
      </c>
      <c r="C30">
        <v>156805.6175092737</v>
      </c>
      <c r="D30">
        <v>9858.950185223404</v>
      </c>
      <c r="E30">
        <v>117348.7056325022</v>
      </c>
      <c r="F30">
        <v>272754.2792635424</v>
      </c>
      <c r="G30">
        <v>443219.3867021686</v>
      </c>
      <c r="H30">
        <v>41747.45080045226</v>
      </c>
      <c r="I30">
        <v>89820.58789159027</v>
      </c>
      <c r="J30">
        <v>22131.59830350692</v>
      </c>
      <c r="K30">
        <v>53389.79598839307</v>
      </c>
      <c r="L30">
        <v>84441.1290076411</v>
      </c>
      <c r="M30">
        <v>13423.82489488028</v>
      </c>
      <c r="N30">
        <v>191462.117364279</v>
      </c>
      <c r="O30">
        <v>362013.8655516665</v>
      </c>
      <c r="P30">
        <v>343299.8540362684</v>
      </c>
      <c r="Q30">
        <v>145179.1410591862</v>
      </c>
      <c r="R30">
        <v>24619.05708553911</v>
      </c>
      <c r="S30">
        <v>58436.19488640839</v>
      </c>
      <c r="T30">
        <v>87584.56278871435</v>
      </c>
      <c r="U30">
        <v>162465.2686262704</v>
      </c>
      <c r="V30">
        <v>30382.29284010145</v>
      </c>
      <c r="W30">
        <v>40308.98481866884</v>
      </c>
      <c r="X30">
        <v>33920.37707472267</v>
      </c>
      <c r="Y30">
        <v>5434651.861638784</v>
      </c>
      <c r="Z30">
        <v>170427.9461126486</v>
      </c>
      <c r="AA30">
        <v>230060.8049778295</v>
      </c>
      <c r="AB30">
        <v>614806.8197939452</v>
      </c>
      <c r="AC30">
        <v>12843.71093156667</v>
      </c>
      <c r="AD30">
        <v>835440.2849722146</v>
      </c>
      <c r="AE30">
        <v>219267.5229317326</v>
      </c>
      <c r="AF30">
        <v>103693.544326711</v>
      </c>
      <c r="AG30">
        <v>9395.509830175824</v>
      </c>
      <c r="AH30">
        <v>2060.408977814554</v>
      </c>
      <c r="AI30">
        <v>60958.68065378652</v>
      </c>
      <c r="AJ30">
        <v>8359.744496319448</v>
      </c>
      <c r="AK30">
        <v>180930.5426220268</v>
      </c>
      <c r="AL30">
        <v>2554.499779900925</v>
      </c>
      <c r="AM30">
        <v>3454.511997632078</v>
      </c>
      <c r="AN30">
        <v>52893.25099811317</v>
      </c>
      <c r="AO30">
        <v>5538.103040919016</v>
      </c>
      <c r="AP30">
        <v>234687.4783029646</v>
      </c>
      <c r="AQ30">
        <v>8375.667897877922</v>
      </c>
      <c r="AR30">
        <v>41273.57306821795</v>
      </c>
      <c r="AS30">
        <v>1064937.697844887</v>
      </c>
      <c r="AT30">
        <v>4708.310155621618</v>
      </c>
      <c r="AU30">
        <v>23652.05677995718</v>
      </c>
      <c r="AV30">
        <v>45821.54273520475</v>
      </c>
      <c r="AW30">
        <v>1272.715780725699</v>
      </c>
      <c r="AX30">
        <v>3842.595871417845</v>
      </c>
      <c r="AY30">
        <v>2198.968583764786</v>
      </c>
      <c r="AZ30">
        <v>3257.038903060531</v>
      </c>
      <c r="BA30">
        <v>1707.115481775545</v>
      </c>
      <c r="BB30">
        <v>4423.083249392127</v>
      </c>
      <c r="BC30">
        <v>66944.19863841582</v>
      </c>
      <c r="BD30">
        <v>1356980.983457279</v>
      </c>
      <c r="BE30">
        <v>555521.4675365593</v>
      </c>
      <c r="BF30">
        <v>780429.6267549153</v>
      </c>
      <c r="BG30">
        <v>44165.8378263589</v>
      </c>
      <c r="BH30">
        <v>14373.04287003503</v>
      </c>
      <c r="BI30">
        <v>79438.89771882376</v>
      </c>
      <c r="BJ30">
        <v>10793.41630069644</v>
      </c>
      <c r="BK30">
        <v>1346.76362980733</v>
      </c>
      <c r="BL30">
        <v>10295.58446045641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35767315.23820625</v>
      </c>
      <c r="BT30">
        <v>32930641.77163868</v>
      </c>
      <c r="BU30">
        <v>47132.38744431601</v>
      </c>
      <c r="BV30">
        <v>59091.18787199465</v>
      </c>
      <c r="BW30">
        <f>SUM(B30:BV30)</f>
        <v>85206288.97198913</v>
      </c>
    </row>
    <row r="31" spans="1:75">
      <c r="A31" t="s">
        <v>28</v>
      </c>
      <c r="B31">
        <v>1310319.311324217</v>
      </c>
      <c r="C31">
        <v>11225.69313758944</v>
      </c>
      <c r="D31">
        <v>17422.18091634474</v>
      </c>
      <c r="E31">
        <v>916236.4736333606</v>
      </c>
      <c r="F31">
        <v>2709104.184166428</v>
      </c>
      <c r="G31">
        <v>5753604.338701895</v>
      </c>
      <c r="H31">
        <v>1096335.498039699</v>
      </c>
      <c r="I31">
        <v>12208939.49086959</v>
      </c>
      <c r="J31">
        <v>237769.420545969</v>
      </c>
      <c r="K31">
        <v>1262568.707459852</v>
      </c>
      <c r="L31">
        <v>5983897.18423477</v>
      </c>
      <c r="M31">
        <v>321587.6791901576</v>
      </c>
      <c r="N31">
        <v>11889170.82469246</v>
      </c>
      <c r="O31">
        <v>4655402.557229994</v>
      </c>
      <c r="P31">
        <v>226975053.1965094</v>
      </c>
      <c r="Q31">
        <v>7438741.69359949</v>
      </c>
      <c r="R31">
        <v>605730.496094732</v>
      </c>
      <c r="S31">
        <v>4495027.618068543</v>
      </c>
      <c r="T31">
        <v>4002520.082681939</v>
      </c>
      <c r="U31">
        <v>4827305.352798572</v>
      </c>
      <c r="V31">
        <v>754773.337136648</v>
      </c>
      <c r="W31">
        <v>1445399.231186076</v>
      </c>
      <c r="X31">
        <v>741250.4449205198</v>
      </c>
      <c r="Y31">
        <v>7564674.199787111</v>
      </c>
      <c r="Z31">
        <v>1773584.407715735</v>
      </c>
      <c r="AA31">
        <v>48565260.8649791</v>
      </c>
      <c r="AB31">
        <v>17917602.88043007</v>
      </c>
      <c r="AC31">
        <v>1284748.968885068</v>
      </c>
      <c r="AD31">
        <v>2543724.138034299</v>
      </c>
      <c r="AE31">
        <v>960764.8178371415</v>
      </c>
      <c r="AF31">
        <v>5689022.310890307</v>
      </c>
      <c r="AG31">
        <v>204433.6561201801</v>
      </c>
      <c r="AH31">
        <v>574972.5034833108</v>
      </c>
      <c r="AI31">
        <v>1376389.655397146</v>
      </c>
      <c r="AJ31">
        <v>164181.5969722314</v>
      </c>
      <c r="AK31">
        <v>1646438.11931427</v>
      </c>
      <c r="AL31">
        <v>25848.62513631476</v>
      </c>
      <c r="AM31">
        <v>36753.84045521544</v>
      </c>
      <c r="AN31">
        <v>105815.5579355231</v>
      </c>
      <c r="AO31">
        <v>110620.8478093345</v>
      </c>
      <c r="AP31">
        <v>497458.8126227255</v>
      </c>
      <c r="AQ31">
        <v>214194.8151804882</v>
      </c>
      <c r="AR31">
        <v>1533092.886923929</v>
      </c>
      <c r="AS31">
        <v>2281757.334447823</v>
      </c>
      <c r="AT31">
        <v>634358.7172460489</v>
      </c>
      <c r="AU31">
        <v>247962.08248176</v>
      </c>
      <c r="AV31">
        <v>864365.6655733144</v>
      </c>
      <c r="AW31">
        <v>22717.12308548421</v>
      </c>
      <c r="AX31">
        <v>98013.80858957551</v>
      </c>
      <c r="AY31">
        <v>99347.47834063391</v>
      </c>
      <c r="AZ31">
        <v>1038506.930061778</v>
      </c>
      <c r="BA31">
        <v>236056.5837130266</v>
      </c>
      <c r="BB31">
        <v>195209.974660992</v>
      </c>
      <c r="BC31">
        <v>937213.1032514701</v>
      </c>
      <c r="BD31">
        <v>666213.0518122702</v>
      </c>
      <c r="BE31">
        <v>212218.6797457792</v>
      </c>
      <c r="BF31">
        <v>2532625.364462975</v>
      </c>
      <c r="BG31">
        <v>34494.25282358881</v>
      </c>
      <c r="BH31">
        <v>55674.02251272782</v>
      </c>
      <c r="BI31">
        <v>106979.9519553754</v>
      </c>
      <c r="BJ31">
        <v>29321.82130014767</v>
      </c>
      <c r="BK31">
        <v>62705.02742728846</v>
      </c>
      <c r="BL31">
        <v>82096.35090625384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12989429.15899449</v>
      </c>
      <c r="BT31">
        <v>75673571.80159646</v>
      </c>
      <c r="BU31">
        <v>-2337577.698375382</v>
      </c>
      <c r="BV31">
        <v>21854590.10715838</v>
      </c>
      <c r="BW31">
        <f>SUM(B31:BV31)</f>
        <v>511066819.19681996</v>
      </c>
    </row>
    <row r="32" spans="1:75">
      <c r="A32" t="s">
        <v>29</v>
      </c>
      <c r="B32">
        <v>5532778.425396652</v>
      </c>
      <c r="C32">
        <v>537428.5892471317</v>
      </c>
      <c r="D32">
        <v>194989.7409500272</v>
      </c>
      <c r="E32">
        <v>3522971.767219902</v>
      </c>
      <c r="F32">
        <v>4675418.767922784</v>
      </c>
      <c r="G32">
        <v>3432644.927122681</v>
      </c>
      <c r="H32">
        <v>589794.586526127</v>
      </c>
      <c r="I32">
        <v>800225.0933199772</v>
      </c>
      <c r="J32">
        <v>210765.7199659656</v>
      </c>
      <c r="K32">
        <v>16147169.98744739</v>
      </c>
      <c r="L32">
        <v>1993029.423396637</v>
      </c>
      <c r="M32">
        <v>320584.644916171</v>
      </c>
      <c r="N32">
        <v>1968697.442400803</v>
      </c>
      <c r="O32">
        <v>6176717.283100574</v>
      </c>
      <c r="P32">
        <v>6835678.555513128</v>
      </c>
      <c r="Q32">
        <v>3131477.48784959</v>
      </c>
      <c r="R32">
        <v>602242.3204759969</v>
      </c>
      <c r="S32">
        <v>2149835.646734152</v>
      </c>
      <c r="T32">
        <v>3713527.77611407</v>
      </c>
      <c r="U32">
        <v>4529799.095903518</v>
      </c>
      <c r="V32">
        <v>1401341.11850515</v>
      </c>
      <c r="W32">
        <v>1472770.82983053</v>
      </c>
      <c r="X32">
        <v>1324840.074478461</v>
      </c>
      <c r="Y32">
        <v>21703482.29251752</v>
      </c>
      <c r="Z32">
        <v>2783090.642222302</v>
      </c>
      <c r="AA32">
        <v>21743512.13259619</v>
      </c>
      <c r="AB32">
        <v>605976240.0834856</v>
      </c>
      <c r="AC32">
        <v>2119417.280611498</v>
      </c>
      <c r="AD32">
        <v>19986390.62220286</v>
      </c>
      <c r="AE32">
        <v>8322933.333790935</v>
      </c>
      <c r="AF32">
        <v>7996922.441902487</v>
      </c>
      <c r="AG32">
        <v>924583.5304972548</v>
      </c>
      <c r="AH32">
        <v>3652792.315083648</v>
      </c>
      <c r="AI32">
        <v>5837985.499824107</v>
      </c>
      <c r="AJ32">
        <v>679383.8097534265</v>
      </c>
      <c r="AK32">
        <v>3025089.937289347</v>
      </c>
      <c r="AL32">
        <v>70215.54702624143</v>
      </c>
      <c r="AM32">
        <v>215334.5470576476</v>
      </c>
      <c r="AN32">
        <v>531518.3755226994</v>
      </c>
      <c r="AO32">
        <v>490928.3565524815</v>
      </c>
      <c r="AP32">
        <v>5877843.982613171</v>
      </c>
      <c r="AQ32">
        <v>1862256.571829456</v>
      </c>
      <c r="AR32">
        <v>2871591.583263821</v>
      </c>
      <c r="AS32">
        <v>1983984.597324141</v>
      </c>
      <c r="AT32">
        <v>14651615.73575061</v>
      </c>
      <c r="AU32">
        <v>659538.7940767485</v>
      </c>
      <c r="AV32">
        <v>21353850.94725663</v>
      </c>
      <c r="AW32">
        <v>73342.04599472445</v>
      </c>
      <c r="AX32">
        <v>309702.1836916671</v>
      </c>
      <c r="AY32">
        <v>196468.8061835543</v>
      </c>
      <c r="AZ32">
        <v>1639984.467944891</v>
      </c>
      <c r="BA32">
        <v>144424.0984866149</v>
      </c>
      <c r="BB32">
        <v>1103171.221447902</v>
      </c>
      <c r="BC32">
        <v>2638737.129658405</v>
      </c>
      <c r="BD32">
        <v>70951431.02236806</v>
      </c>
      <c r="BE32">
        <v>5925106.021521594</v>
      </c>
      <c r="BF32">
        <v>9832761.455935288</v>
      </c>
      <c r="BG32">
        <v>309913.0772051093</v>
      </c>
      <c r="BH32">
        <v>961949.9193106873</v>
      </c>
      <c r="BI32">
        <v>5778562.541873182</v>
      </c>
      <c r="BJ32">
        <v>173161.7345955153</v>
      </c>
      <c r="BK32">
        <v>104492.3200381378</v>
      </c>
      <c r="BL32">
        <v>194733.408424837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93154302.44326267</v>
      </c>
      <c r="BT32">
        <v>4951491.196133531</v>
      </c>
      <c r="BU32">
        <v>3758812291.389179</v>
      </c>
      <c r="BV32">
        <v>41327772.34770032</v>
      </c>
      <c r="BW32">
        <f>SUM(B32:BV32)</f>
        <v>4825169031.095345</v>
      </c>
    </row>
    <row r="33" spans="1:75">
      <c r="A33" t="s">
        <v>30</v>
      </c>
      <c r="B33">
        <v>13256285.77656863</v>
      </c>
      <c r="C33">
        <v>554704.8195335452</v>
      </c>
      <c r="D33">
        <v>235467.6046262408</v>
      </c>
      <c r="E33">
        <v>3310411.909325351</v>
      </c>
      <c r="F33">
        <v>36509855.74203585</v>
      </c>
      <c r="G33">
        <v>22065395.54629392</v>
      </c>
      <c r="H33">
        <v>2629809.587441418</v>
      </c>
      <c r="I33">
        <v>3337872.980554344</v>
      </c>
      <c r="J33">
        <v>959998.5432712897</v>
      </c>
      <c r="K33">
        <v>2322361.962756488</v>
      </c>
      <c r="L33">
        <v>6345509.315306845</v>
      </c>
      <c r="M33">
        <v>1459326.716133477</v>
      </c>
      <c r="N33">
        <v>6597120.167082766</v>
      </c>
      <c r="O33">
        <v>8554748.842874447</v>
      </c>
      <c r="P33">
        <v>9545851.068804825</v>
      </c>
      <c r="Q33">
        <v>8377285.104943061</v>
      </c>
      <c r="R33">
        <v>2777227.813398061</v>
      </c>
      <c r="S33">
        <v>7821480.9362007</v>
      </c>
      <c r="T33">
        <v>8194893.527319549</v>
      </c>
      <c r="U33">
        <v>19014315.1879805</v>
      </c>
      <c r="V33">
        <v>2374289.959199948</v>
      </c>
      <c r="W33">
        <v>5346055.331468374</v>
      </c>
      <c r="X33">
        <v>2813539.264908194</v>
      </c>
      <c r="Y33">
        <v>4184427.411491053</v>
      </c>
      <c r="Z33">
        <v>493443.6888064663</v>
      </c>
      <c r="AA33">
        <v>1919300.663704289</v>
      </c>
      <c r="AB33">
        <v>44275566.36467359</v>
      </c>
      <c r="AC33">
        <v>15355329.28706173</v>
      </c>
      <c r="AD33">
        <v>24084646.94463878</v>
      </c>
      <c r="AE33">
        <v>10586203.8835077</v>
      </c>
      <c r="AF33">
        <v>46590450.90861149</v>
      </c>
      <c r="AG33">
        <v>1142399.768678478</v>
      </c>
      <c r="AH33">
        <v>4533053.450371725</v>
      </c>
      <c r="AI33">
        <v>7386702.819443703</v>
      </c>
      <c r="AJ33">
        <v>1689393.685271081</v>
      </c>
      <c r="AK33">
        <v>13272611.3667533</v>
      </c>
      <c r="AL33">
        <v>315858.0518196793</v>
      </c>
      <c r="AM33">
        <v>375850.8271098655</v>
      </c>
      <c r="AN33">
        <v>854975.4263871352</v>
      </c>
      <c r="AO33">
        <v>1264287.326189701</v>
      </c>
      <c r="AP33">
        <v>3540358.619139522</v>
      </c>
      <c r="AQ33">
        <v>610399.4534901272</v>
      </c>
      <c r="AR33">
        <v>1009245.266635187</v>
      </c>
      <c r="AS33">
        <v>2059575.21940146</v>
      </c>
      <c r="AT33">
        <v>1273774.100087236</v>
      </c>
      <c r="AU33">
        <v>1681480.191469444</v>
      </c>
      <c r="AV33">
        <v>2397333.558231842</v>
      </c>
      <c r="AW33">
        <v>166414.9623678348</v>
      </c>
      <c r="AX33">
        <v>770072.8960970221</v>
      </c>
      <c r="AY33">
        <v>751361.1509602412</v>
      </c>
      <c r="AZ33">
        <v>8009760.428647421</v>
      </c>
      <c r="BA33">
        <v>218430.6311129908</v>
      </c>
      <c r="BB33">
        <v>1392215.041554792</v>
      </c>
      <c r="BC33">
        <v>2290822.100177583</v>
      </c>
      <c r="BD33">
        <v>20079953.76815758</v>
      </c>
      <c r="BE33">
        <v>1705102.195402355</v>
      </c>
      <c r="BF33">
        <v>5725377.187370617</v>
      </c>
      <c r="BG33">
        <v>495390.0860308135</v>
      </c>
      <c r="BH33">
        <v>733613.3744458387</v>
      </c>
      <c r="BI33">
        <v>462668.8733300803</v>
      </c>
      <c r="BJ33">
        <v>443179.6555747474</v>
      </c>
      <c r="BK33">
        <v>608641.9858357091</v>
      </c>
      <c r="BL33">
        <v>785616.1124897528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356885434.5850161</v>
      </c>
      <c r="BT33">
        <v>7042275.05153591</v>
      </c>
      <c r="BU33">
        <v>70745689.42011856</v>
      </c>
      <c r="BV33">
        <v>122885569.8906503</v>
      </c>
      <c r="BW33">
        <f>SUM(B33:BV33)</f>
        <v>967498065.3878787</v>
      </c>
    </row>
    <row r="34" spans="1:75">
      <c r="A34" t="s">
        <v>31</v>
      </c>
      <c r="B34">
        <v>51613715.76347801</v>
      </c>
      <c r="C34">
        <v>755450.1596404441</v>
      </c>
      <c r="D34">
        <v>1030456.450094296</v>
      </c>
      <c r="E34">
        <v>10632232.82263029</v>
      </c>
      <c r="F34">
        <v>129335223.7864491</v>
      </c>
      <c r="G34">
        <v>80532115.7829929</v>
      </c>
      <c r="H34">
        <v>9526222.97261643</v>
      </c>
      <c r="I34">
        <v>12026948.44397563</v>
      </c>
      <c r="J34">
        <v>3119634.120056889</v>
      </c>
      <c r="K34">
        <v>10885533.14955241</v>
      </c>
      <c r="L34">
        <v>26618890.54329475</v>
      </c>
      <c r="M34">
        <v>5639113.473473169</v>
      </c>
      <c r="N34">
        <v>24008374.23829691</v>
      </c>
      <c r="O34">
        <v>25517044.73838704</v>
      </c>
      <c r="P34">
        <v>35892309.95094463</v>
      </c>
      <c r="Q34">
        <v>27866520.86733409</v>
      </c>
      <c r="R34">
        <v>9722140.793872252</v>
      </c>
      <c r="S34">
        <v>32142008.05659843</v>
      </c>
      <c r="T34">
        <v>27709739.08858292</v>
      </c>
      <c r="U34">
        <v>60014573.22481064</v>
      </c>
      <c r="V34">
        <v>8847179.919467453</v>
      </c>
      <c r="W34">
        <v>18342780.89064525</v>
      </c>
      <c r="X34">
        <v>7849963.820209294</v>
      </c>
      <c r="Y34">
        <v>21589122.80997123</v>
      </c>
      <c r="Z34">
        <v>1327285.810839929</v>
      </c>
      <c r="AA34">
        <v>3819834.566277759</v>
      </c>
      <c r="AB34">
        <v>126398906.9134019</v>
      </c>
      <c r="AC34">
        <v>16255065.02286245</v>
      </c>
      <c r="AD34">
        <v>27734012.58560868</v>
      </c>
      <c r="AE34">
        <v>17592809.83500636</v>
      </c>
      <c r="AF34">
        <v>49213036.78250305</v>
      </c>
      <c r="AG34">
        <v>3629827.745196046</v>
      </c>
      <c r="AH34">
        <v>18548543.24575653</v>
      </c>
      <c r="AI34">
        <v>11209927.2540667</v>
      </c>
      <c r="AJ34">
        <v>3076449.746732857</v>
      </c>
      <c r="AK34">
        <v>42346225.84263562</v>
      </c>
      <c r="AL34">
        <v>1083900.817602808</v>
      </c>
      <c r="AM34">
        <v>1091379.551787585</v>
      </c>
      <c r="AN34">
        <v>2939016.694142101</v>
      </c>
      <c r="AO34">
        <v>4489035.625079934</v>
      </c>
      <c r="AP34">
        <v>1707967.978135946</v>
      </c>
      <c r="AQ34">
        <v>231972.8453280475</v>
      </c>
      <c r="AR34">
        <v>732439.5697708016</v>
      </c>
      <c r="AS34">
        <v>4788525.844704068</v>
      </c>
      <c r="AT34">
        <v>4953809.211765659</v>
      </c>
      <c r="AU34">
        <v>3485323.211719607</v>
      </c>
      <c r="AV34">
        <v>7105943.092361216</v>
      </c>
      <c r="AW34">
        <v>688606.130207643</v>
      </c>
      <c r="AX34">
        <v>2334168.022848374</v>
      </c>
      <c r="AY34">
        <v>1843112.836522429</v>
      </c>
      <c r="AZ34">
        <v>2209881.474073119</v>
      </c>
      <c r="BA34">
        <v>490911.7105645204</v>
      </c>
      <c r="BB34">
        <v>3131606.337160297</v>
      </c>
      <c r="BC34">
        <v>5777226.267695925</v>
      </c>
      <c r="BD34">
        <v>20614825.84227049</v>
      </c>
      <c r="BE34">
        <v>3749332.238997082</v>
      </c>
      <c r="BF34">
        <v>16928901.35809247</v>
      </c>
      <c r="BG34">
        <v>1341937.855988052</v>
      </c>
      <c r="BH34">
        <v>2357775.291507477</v>
      </c>
      <c r="BI34">
        <v>1230511.598125272</v>
      </c>
      <c r="BJ34">
        <v>1474150.126903921</v>
      </c>
      <c r="BK34">
        <v>1459956.042625664</v>
      </c>
      <c r="BL34">
        <v>1752674.729410354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874330244.9418104</v>
      </c>
      <c r="BT34">
        <v>28034207.75582637</v>
      </c>
      <c r="BU34">
        <v>276616954.2271459</v>
      </c>
      <c r="BV34">
        <v>464342559.2595673</v>
      </c>
      <c r="BW34">
        <f>SUM(B34:BV34)</f>
        <v>2705688079.708003</v>
      </c>
    </row>
    <row r="35" spans="1:75">
      <c r="A35" t="s">
        <v>32</v>
      </c>
      <c r="B35">
        <v>41431468.89187434</v>
      </c>
      <c r="C35">
        <v>283006.3593566632</v>
      </c>
      <c r="D35">
        <v>736113.0916823715</v>
      </c>
      <c r="E35">
        <v>6364868.796433069</v>
      </c>
      <c r="F35">
        <v>109756031.343608</v>
      </c>
      <c r="G35">
        <v>66190457.58170919</v>
      </c>
      <c r="H35">
        <v>7824792.685725672</v>
      </c>
      <c r="I35">
        <v>9848260.181129735</v>
      </c>
      <c r="J35">
        <v>2594177.23507404</v>
      </c>
      <c r="K35">
        <v>7285538.095442154</v>
      </c>
      <c r="L35">
        <v>19169906.87752682</v>
      </c>
      <c r="M35">
        <v>4374104.727874798</v>
      </c>
      <c r="N35">
        <v>18115412.54442515</v>
      </c>
      <c r="O35">
        <v>20367228.33421941</v>
      </c>
      <c r="P35">
        <v>29117549.99247051</v>
      </c>
      <c r="Q35">
        <v>22422415.27950626</v>
      </c>
      <c r="R35">
        <v>7680601.491636887</v>
      </c>
      <c r="S35">
        <v>22885138.35681103</v>
      </c>
      <c r="T35">
        <v>20894220.71495729</v>
      </c>
      <c r="U35">
        <v>43302765.02629914</v>
      </c>
      <c r="V35">
        <v>6766671.994834288</v>
      </c>
      <c r="W35">
        <v>15129616.60375504</v>
      </c>
      <c r="X35">
        <v>5905569.63819413</v>
      </c>
      <c r="Y35">
        <v>11734989.32376446</v>
      </c>
      <c r="Z35">
        <v>1062733.379641463</v>
      </c>
      <c r="AA35">
        <v>3111335.308369267</v>
      </c>
      <c r="AB35">
        <v>102638532.8743533</v>
      </c>
      <c r="AC35">
        <v>13303364.11562775</v>
      </c>
      <c r="AD35">
        <v>21274303.2046947</v>
      </c>
      <c r="AE35">
        <v>15131393.04818875</v>
      </c>
      <c r="AF35">
        <v>40620985.18255881</v>
      </c>
      <c r="AG35">
        <v>2653210.34500849</v>
      </c>
      <c r="AH35">
        <v>12966983.47665921</v>
      </c>
      <c r="AI35">
        <v>8765510.6031809</v>
      </c>
      <c r="AJ35">
        <v>2644069.034562562</v>
      </c>
      <c r="AK35">
        <v>35625996.32468846</v>
      </c>
      <c r="AL35">
        <v>1023946.387101747</v>
      </c>
      <c r="AM35">
        <v>959125.4780101203</v>
      </c>
      <c r="AN35">
        <v>2515662.584790919</v>
      </c>
      <c r="AO35">
        <v>4029550.567672068</v>
      </c>
      <c r="AP35">
        <v>1599226.466269813</v>
      </c>
      <c r="AQ35">
        <v>247443.7714256179</v>
      </c>
      <c r="AR35">
        <v>702970.2677312924</v>
      </c>
      <c r="AS35">
        <v>3488233.483095713</v>
      </c>
      <c r="AT35">
        <v>4027688.720790631</v>
      </c>
      <c r="AU35">
        <v>2694471.162204825</v>
      </c>
      <c r="AV35">
        <v>4944704.269068468</v>
      </c>
      <c r="AW35">
        <v>487509.8361116408</v>
      </c>
      <c r="AX35">
        <v>2112976.157274622</v>
      </c>
      <c r="AY35">
        <v>1508366.773994346</v>
      </c>
      <c r="AZ35">
        <v>1731365.61035882</v>
      </c>
      <c r="BA35">
        <v>314424.0557432761</v>
      </c>
      <c r="BB35">
        <v>3760568.144219593</v>
      </c>
      <c r="BC35">
        <v>4781050.763372107</v>
      </c>
      <c r="BD35">
        <v>17666020.36205224</v>
      </c>
      <c r="BE35">
        <v>3280293.489966139</v>
      </c>
      <c r="BF35">
        <v>14257163.22006823</v>
      </c>
      <c r="BG35">
        <v>1126980.860222561</v>
      </c>
      <c r="BH35">
        <v>2056174.474835542</v>
      </c>
      <c r="BI35">
        <v>1063266.714980697</v>
      </c>
      <c r="BJ35">
        <v>1273787.820520734</v>
      </c>
      <c r="BK35">
        <v>1203482.11820091</v>
      </c>
      <c r="BL35">
        <v>1572647.225563684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766872957.7401659</v>
      </c>
      <c r="BT35">
        <v>22494411.09421456</v>
      </c>
      <c r="BU35">
        <v>232920191.8856827</v>
      </c>
      <c r="BV35">
        <v>381361122.1419799</v>
      </c>
      <c r="BW35">
        <f>SUM(B35:BV35)</f>
        <v>2248057105.7135334</v>
      </c>
    </row>
    <row r="36" spans="1:75">
      <c r="A36" t="s">
        <v>33</v>
      </c>
      <c r="B36">
        <v>28452306.41790377</v>
      </c>
      <c r="C36">
        <v>750256.5961098274</v>
      </c>
      <c r="D36">
        <v>373576.3151648953</v>
      </c>
      <c r="E36">
        <v>15839882.61947221</v>
      </c>
      <c r="F36">
        <v>74469266.5892441</v>
      </c>
      <c r="G36">
        <v>35212165.44775681</v>
      </c>
      <c r="H36">
        <v>8334908.56512045</v>
      </c>
      <c r="I36">
        <v>13562009.26569727</v>
      </c>
      <c r="J36">
        <v>2587102.428593942</v>
      </c>
      <c r="K36">
        <v>10548130.89737776</v>
      </c>
      <c r="L36">
        <v>18809681.50081182</v>
      </c>
      <c r="M36">
        <v>2594452.217918206</v>
      </c>
      <c r="N36">
        <v>20289940.07798915</v>
      </c>
      <c r="O36">
        <v>39512349.47586421</v>
      </c>
      <c r="P36">
        <v>62692408.30525885</v>
      </c>
      <c r="Q36">
        <v>30190789.35503562</v>
      </c>
      <c r="R36">
        <v>5008722.320967121</v>
      </c>
      <c r="S36">
        <v>20517552.23483261</v>
      </c>
      <c r="T36">
        <v>20050371.63245491</v>
      </c>
      <c r="U36">
        <v>41819437.56401712</v>
      </c>
      <c r="V36">
        <v>6856600.786806939</v>
      </c>
      <c r="W36">
        <v>13410669.1372361</v>
      </c>
      <c r="X36">
        <v>5279781.330145221</v>
      </c>
      <c r="Y36">
        <v>21226031.08164542</v>
      </c>
      <c r="Z36">
        <v>932584.3273846718</v>
      </c>
      <c r="AA36">
        <v>4225409.53913028</v>
      </c>
      <c r="AB36">
        <v>117336565.4782095</v>
      </c>
      <c r="AC36">
        <v>15041988.77627176</v>
      </c>
      <c r="AD36">
        <v>114080941.4609231</v>
      </c>
      <c r="AE36">
        <v>44728929.6921297</v>
      </c>
      <c r="AF36">
        <v>186698286.8031393</v>
      </c>
      <c r="AG36">
        <v>11760651.0330507</v>
      </c>
      <c r="AH36">
        <v>15977736.02044432</v>
      </c>
      <c r="AI36">
        <v>57257948.55200655</v>
      </c>
      <c r="AJ36">
        <v>11443909.7812055</v>
      </c>
      <c r="AK36">
        <v>20799339.84172538</v>
      </c>
      <c r="AL36">
        <v>681675.1514564509</v>
      </c>
      <c r="AM36">
        <v>635607.918231176</v>
      </c>
      <c r="AN36">
        <v>1061944.244189412</v>
      </c>
      <c r="AO36">
        <v>1640276.861365994</v>
      </c>
      <c r="AP36">
        <v>3750225.324363715</v>
      </c>
      <c r="AQ36">
        <v>1263157.75267046</v>
      </c>
      <c r="AR36">
        <v>1767354.680101828</v>
      </c>
      <c r="AS36">
        <v>5654259.935528374</v>
      </c>
      <c r="AT36">
        <v>1975769.315896198</v>
      </c>
      <c r="AU36">
        <v>2338811.248142941</v>
      </c>
      <c r="AV36">
        <v>4343201.930459595</v>
      </c>
      <c r="AW36">
        <v>239342.7120216798</v>
      </c>
      <c r="AX36">
        <v>1535872.167626619</v>
      </c>
      <c r="AY36">
        <v>972842.9661438087</v>
      </c>
      <c r="AZ36">
        <v>3702194.785441551</v>
      </c>
      <c r="BA36">
        <v>507054.2081800185</v>
      </c>
      <c r="BB36">
        <v>5868464.492778775</v>
      </c>
      <c r="BC36">
        <v>5061563.982510065</v>
      </c>
      <c r="BD36">
        <v>26357493.32792775</v>
      </c>
      <c r="BE36">
        <v>11847115.13746073</v>
      </c>
      <c r="BF36">
        <v>6232388.429476432</v>
      </c>
      <c r="BG36">
        <v>607232.7207305895</v>
      </c>
      <c r="BH36">
        <v>1218998.289002557</v>
      </c>
      <c r="BI36">
        <v>738462.0481545643</v>
      </c>
      <c r="BJ36">
        <v>749262.5902514826</v>
      </c>
      <c r="BK36">
        <v>646720.8646259306</v>
      </c>
      <c r="BL36">
        <v>765952.9739191856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812090674.0305256</v>
      </c>
      <c r="BT36">
        <v>35423248.7294863</v>
      </c>
      <c r="BU36">
        <v>128218783.9094619</v>
      </c>
      <c r="BV36">
        <v>480846227.9692335</v>
      </c>
      <c r="BW36">
        <f>SUM(B36:BV36)</f>
        <v>2647414864.1664104</v>
      </c>
    </row>
    <row r="37" spans="1:75">
      <c r="A37" t="s">
        <v>34</v>
      </c>
      <c r="B37">
        <v>469842.9669721693</v>
      </c>
      <c r="C37">
        <v>16518.57275803799</v>
      </c>
      <c r="D37">
        <v>50608.93545264463</v>
      </c>
      <c r="E37">
        <v>885152.4923196721</v>
      </c>
      <c r="F37">
        <v>2060870.324003502</v>
      </c>
      <c r="G37">
        <v>1113843.133610989</v>
      </c>
      <c r="H37">
        <v>170644.3308986884</v>
      </c>
      <c r="I37">
        <v>455929.6164875032</v>
      </c>
      <c r="J37">
        <v>66438.87938611873</v>
      </c>
      <c r="K37">
        <v>2952575.362471486</v>
      </c>
      <c r="L37">
        <v>708245.6268711598</v>
      </c>
      <c r="M37">
        <v>108313.3539427062</v>
      </c>
      <c r="N37">
        <v>759973.6581472745</v>
      </c>
      <c r="O37">
        <v>1041208.001466795</v>
      </c>
      <c r="P37">
        <v>2715874.426873392</v>
      </c>
      <c r="Q37">
        <v>979927.8421582747</v>
      </c>
      <c r="R37">
        <v>238179.6784111139</v>
      </c>
      <c r="S37">
        <v>752802.9143300661</v>
      </c>
      <c r="T37">
        <v>742380.8510835068</v>
      </c>
      <c r="U37">
        <v>1495448.313989443</v>
      </c>
      <c r="V37">
        <v>1077618.011286349</v>
      </c>
      <c r="W37">
        <v>416204.8812752389</v>
      </c>
      <c r="X37">
        <v>428683.46854404</v>
      </c>
      <c r="Y37">
        <v>1272313.05035271</v>
      </c>
      <c r="Z37">
        <v>24611.61356480497</v>
      </c>
      <c r="AA37">
        <v>233295.8050387051</v>
      </c>
      <c r="AB37">
        <v>3072308.302280159</v>
      </c>
      <c r="AC37">
        <v>524210.4194732078</v>
      </c>
      <c r="AD37">
        <v>17497190.88485524</v>
      </c>
      <c r="AE37">
        <v>973254.3130954256</v>
      </c>
      <c r="AF37">
        <v>13519797.62271262</v>
      </c>
      <c r="AG37">
        <v>15779462.06369847</v>
      </c>
      <c r="AH37">
        <v>3783099.386477182</v>
      </c>
      <c r="AI37">
        <v>8633172.021347594</v>
      </c>
      <c r="AJ37">
        <v>192322.765641471</v>
      </c>
      <c r="AK37">
        <v>1252770.169686628</v>
      </c>
      <c r="AL37">
        <v>20188.15890979648</v>
      </c>
      <c r="AM37">
        <v>89918.86761956316</v>
      </c>
      <c r="AN37">
        <v>62759.00772571119</v>
      </c>
      <c r="AO37">
        <v>210189.6361456594</v>
      </c>
      <c r="AP37">
        <v>130317.8767658633</v>
      </c>
      <c r="AQ37">
        <v>4345.992186780029</v>
      </c>
      <c r="AR37">
        <v>20212.24798571784</v>
      </c>
      <c r="AS37">
        <v>386377.2935072658</v>
      </c>
      <c r="AT37">
        <v>70473.03740692101</v>
      </c>
      <c r="AU37">
        <v>319528.8842342919</v>
      </c>
      <c r="AV37">
        <v>426717.7984617723</v>
      </c>
      <c r="AW37">
        <v>13909.61465489284</v>
      </c>
      <c r="AX37">
        <v>180434.6259160881</v>
      </c>
      <c r="AY37">
        <v>43310.44837755313</v>
      </c>
      <c r="AZ37">
        <v>132557.6700435494</v>
      </c>
      <c r="BA37">
        <v>18534.30225138685</v>
      </c>
      <c r="BB37">
        <v>1078664.609750229</v>
      </c>
      <c r="BC37">
        <v>158055.3437816524</v>
      </c>
      <c r="BD37">
        <v>2091080.753672403</v>
      </c>
      <c r="BE37">
        <v>75744.57535990268</v>
      </c>
      <c r="BF37">
        <v>172788.5799257299</v>
      </c>
      <c r="BG37">
        <v>14883.43009303957</v>
      </c>
      <c r="BH37">
        <v>63830.69464731146</v>
      </c>
      <c r="BI37">
        <v>1438900.251522395</v>
      </c>
      <c r="BJ37">
        <v>20034.28386197829</v>
      </c>
      <c r="BK37">
        <v>16881.77147297738</v>
      </c>
      <c r="BL37">
        <v>36010.22190454951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14939149.82209072</v>
      </c>
      <c r="BT37">
        <v>542344.1065752795</v>
      </c>
      <c r="BU37">
        <v>2232712.277044793</v>
      </c>
      <c r="BV37">
        <v>161439018.3525715</v>
      </c>
      <c r="BW37">
        <f>SUM(B37:BV37)</f>
        <v>272914968.59743166</v>
      </c>
    </row>
    <row r="38" spans="1:75">
      <c r="A38" t="s">
        <v>35</v>
      </c>
      <c r="B38">
        <v>74557.39469470095</v>
      </c>
      <c r="C38">
        <v>258088.7776158605</v>
      </c>
      <c r="D38">
        <v>170585.1271575861</v>
      </c>
      <c r="E38">
        <v>150436.7505786346</v>
      </c>
      <c r="F38">
        <v>273571.7074406992</v>
      </c>
      <c r="G38">
        <v>460216.8323408938</v>
      </c>
      <c r="H38">
        <v>21519.12729032767</v>
      </c>
      <c r="I38">
        <v>158450.6034782772</v>
      </c>
      <c r="J38">
        <v>21771.8130505537</v>
      </c>
      <c r="K38">
        <v>61490.12497643166</v>
      </c>
      <c r="L38">
        <v>95232.38488235563</v>
      </c>
      <c r="M38">
        <v>232055.9832308624</v>
      </c>
      <c r="N38">
        <v>187747.4889773347</v>
      </c>
      <c r="O38">
        <v>152388.4628587696</v>
      </c>
      <c r="P38">
        <v>145432.930511908</v>
      </c>
      <c r="Q38">
        <v>163761.6215362235</v>
      </c>
      <c r="R38">
        <v>279616.356818594</v>
      </c>
      <c r="S38">
        <v>224180.5654591701</v>
      </c>
      <c r="T38">
        <v>239623.1215312157</v>
      </c>
      <c r="U38">
        <v>563067.2417756696</v>
      </c>
      <c r="V38">
        <v>1466438.360414199</v>
      </c>
      <c r="W38">
        <v>156461.6080143038</v>
      </c>
      <c r="X38">
        <v>6019472.701894681</v>
      </c>
      <c r="Y38">
        <v>303849.6762414107</v>
      </c>
      <c r="Z38">
        <v>3994.083059161545</v>
      </c>
      <c r="AA38">
        <v>16375.30525966774</v>
      </c>
      <c r="AB38">
        <v>1717721.943558435</v>
      </c>
      <c r="AC38">
        <v>607276.147477231</v>
      </c>
      <c r="AD38">
        <v>6192812.212780857</v>
      </c>
      <c r="AE38">
        <v>657177.5493782724</v>
      </c>
      <c r="AF38">
        <v>5028951.892647319</v>
      </c>
      <c r="AG38">
        <v>2443412.927803858</v>
      </c>
      <c r="AH38">
        <v>28583347.42086033</v>
      </c>
      <c r="AI38">
        <v>20842968.09966555</v>
      </c>
      <c r="AJ38">
        <v>7183576.845489451</v>
      </c>
      <c r="AK38">
        <v>899524.9017874519</v>
      </c>
      <c r="AL38">
        <v>94989.80721607542</v>
      </c>
      <c r="AM38">
        <v>42524.3821136292</v>
      </c>
      <c r="AN38">
        <v>202534.3140789201</v>
      </c>
      <c r="AO38">
        <v>193959.9066709586</v>
      </c>
      <c r="AP38">
        <v>4049370.533310565</v>
      </c>
      <c r="AQ38">
        <v>33445.80026533404</v>
      </c>
      <c r="AR38">
        <v>67878.47382942963</v>
      </c>
      <c r="AS38">
        <v>265558.4903731493</v>
      </c>
      <c r="AT38">
        <v>2360.792378525873</v>
      </c>
      <c r="AU38">
        <v>795554.3546847879</v>
      </c>
      <c r="AV38">
        <v>165291.2694210761</v>
      </c>
      <c r="AW38">
        <v>13938.7858257914</v>
      </c>
      <c r="AX38">
        <v>134311.317633784</v>
      </c>
      <c r="AY38">
        <v>12269.23921304536</v>
      </c>
      <c r="AZ38">
        <v>19916.22905035048</v>
      </c>
      <c r="BA38">
        <v>5663.910299984973</v>
      </c>
      <c r="BB38">
        <v>24914718.9555366</v>
      </c>
      <c r="BC38">
        <v>657963.0674631344</v>
      </c>
      <c r="BD38">
        <v>20662471.39673302</v>
      </c>
      <c r="BE38">
        <v>1247485.082279037</v>
      </c>
      <c r="BF38">
        <v>2057183.841358799</v>
      </c>
      <c r="BG38">
        <v>4899.775539401298</v>
      </c>
      <c r="BH38">
        <v>24675.94824968165</v>
      </c>
      <c r="BI38">
        <v>1193650.642223598</v>
      </c>
      <c r="BJ38">
        <v>4984.202572797254</v>
      </c>
      <c r="BK38">
        <v>10038.07186281656</v>
      </c>
      <c r="BL38">
        <v>141555.2456593081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368737216.9143818</v>
      </c>
      <c r="BT38">
        <v>872106.0695015263</v>
      </c>
      <c r="BU38">
        <v>300559.7318080565</v>
      </c>
      <c r="BV38">
        <v>186416649.4408425</v>
      </c>
      <c r="BW38">
        <f>SUM(B38:BV38)</f>
        <v>699402882.0849158</v>
      </c>
    </row>
    <row r="39" spans="1:75">
      <c r="A39" t="s">
        <v>36</v>
      </c>
      <c r="B39">
        <v>906127.2550016847</v>
      </c>
      <c r="C39">
        <v>333679.005002496</v>
      </c>
      <c r="D39">
        <v>1313942.924279119</v>
      </c>
      <c r="E39">
        <v>11449881.64652044</v>
      </c>
      <c r="F39">
        <v>21659248.67506141</v>
      </c>
      <c r="G39">
        <v>9277970.455392849</v>
      </c>
      <c r="H39">
        <v>1749894.57449145</v>
      </c>
      <c r="I39">
        <v>5113176.803432619</v>
      </c>
      <c r="J39">
        <v>558463.6086749923</v>
      </c>
      <c r="K39">
        <v>4432963.483538354</v>
      </c>
      <c r="L39">
        <v>6245924.916429547</v>
      </c>
      <c r="M39">
        <v>1774944.425675769</v>
      </c>
      <c r="N39">
        <v>8592644.944181571</v>
      </c>
      <c r="O39">
        <v>12708085.5182534</v>
      </c>
      <c r="P39">
        <v>14349329.31491039</v>
      </c>
      <c r="Q39">
        <v>7878050.027499534</v>
      </c>
      <c r="R39">
        <v>2408638.479307482</v>
      </c>
      <c r="S39">
        <v>6535676.221381481</v>
      </c>
      <c r="T39">
        <v>6602537.111208241</v>
      </c>
      <c r="U39">
        <v>14246042.62605307</v>
      </c>
      <c r="V39">
        <v>4358281.374793975</v>
      </c>
      <c r="W39">
        <v>3031454.133535811</v>
      </c>
      <c r="X39">
        <v>5868353.4349181</v>
      </c>
      <c r="Y39">
        <v>10959644.49433691</v>
      </c>
      <c r="Z39">
        <v>200969.5897046837</v>
      </c>
      <c r="AA39">
        <v>1365901.942847681</v>
      </c>
      <c r="AB39">
        <v>22333541.53101861</v>
      </c>
      <c r="AC39">
        <v>5034620.210577819</v>
      </c>
      <c r="AD39">
        <v>116295800.86774</v>
      </c>
      <c r="AE39">
        <v>21251405.39172588</v>
      </c>
      <c r="AF39">
        <v>67018915.86620102</v>
      </c>
      <c r="AG39">
        <v>43534106.52987868</v>
      </c>
      <c r="AH39">
        <v>141846052.0195961</v>
      </c>
      <c r="AI39">
        <v>133119050.9760209</v>
      </c>
      <c r="AJ39">
        <v>5242379.901986431</v>
      </c>
      <c r="AK39">
        <v>10461203.20519265</v>
      </c>
      <c r="AL39">
        <v>105941.2337082514</v>
      </c>
      <c r="AM39">
        <v>415463.0128633858</v>
      </c>
      <c r="AN39">
        <v>592629.6244068603</v>
      </c>
      <c r="AO39">
        <v>752354.2376568916</v>
      </c>
      <c r="AP39">
        <v>2647184.910784992</v>
      </c>
      <c r="AQ39">
        <v>192323.4528857056</v>
      </c>
      <c r="AR39">
        <v>154558.9301710489</v>
      </c>
      <c r="AS39">
        <v>8060291.383548739</v>
      </c>
      <c r="AT39">
        <v>82517.00117236144</v>
      </c>
      <c r="AU39">
        <v>2117701.57133462</v>
      </c>
      <c r="AV39">
        <v>1289863.765768045</v>
      </c>
      <c r="AW39">
        <v>204352.5419025971</v>
      </c>
      <c r="AX39">
        <v>1227496.192346997</v>
      </c>
      <c r="AY39">
        <v>471766.1366814677</v>
      </c>
      <c r="AZ39">
        <v>1929059.90335941</v>
      </c>
      <c r="BA39">
        <v>179670.9018198873</v>
      </c>
      <c r="BB39">
        <v>9607761.376609687</v>
      </c>
      <c r="BC39">
        <v>1688197.855329917</v>
      </c>
      <c r="BD39">
        <v>10075010.95168522</v>
      </c>
      <c r="BE39">
        <v>492790.0570035217</v>
      </c>
      <c r="BF39">
        <v>921292.5128618473</v>
      </c>
      <c r="BG39">
        <v>85813.48206289316</v>
      </c>
      <c r="BH39">
        <v>240725.5184444991</v>
      </c>
      <c r="BI39">
        <v>764453.4669087237</v>
      </c>
      <c r="BJ39">
        <v>116790.7642417371</v>
      </c>
      <c r="BK39">
        <v>123590.1928897569</v>
      </c>
      <c r="BL39">
        <v>323248.4382899624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65653326.03593376</v>
      </c>
      <c r="BT39">
        <v>18093305.19242511</v>
      </c>
      <c r="BU39">
        <v>3768038.102827282</v>
      </c>
      <c r="BV39">
        <v>128937550.0641428</v>
      </c>
      <c r="BW39">
        <f>SUM(B39:BV39)</f>
        <v>991373972.2984391</v>
      </c>
    </row>
    <row r="40" spans="1:75">
      <c r="A40" t="s">
        <v>37</v>
      </c>
      <c r="B40">
        <v>51196.18121945116</v>
      </c>
      <c r="C40">
        <v>82951.39918813184</v>
      </c>
      <c r="D40">
        <v>2101.222959383865</v>
      </c>
      <c r="E40">
        <v>207845.9147865087</v>
      </c>
      <c r="F40">
        <v>872473.5586844642</v>
      </c>
      <c r="G40">
        <v>2814648.499037235</v>
      </c>
      <c r="H40">
        <v>150268.2176794359</v>
      </c>
      <c r="I40">
        <v>312325.8818170435</v>
      </c>
      <c r="J40">
        <v>286227.2593656429</v>
      </c>
      <c r="K40">
        <v>23982.4176943847</v>
      </c>
      <c r="L40">
        <v>570765.4132621873</v>
      </c>
      <c r="M40">
        <v>116469.8553407017</v>
      </c>
      <c r="N40">
        <v>570242.8588239256</v>
      </c>
      <c r="O40">
        <v>425748.0292073837</v>
      </c>
      <c r="P40">
        <v>246877.8214002769</v>
      </c>
      <c r="Q40">
        <v>677594.2270105976</v>
      </c>
      <c r="R40">
        <v>184224.1105555085</v>
      </c>
      <c r="S40">
        <v>484632.2335246975</v>
      </c>
      <c r="T40">
        <v>747452.5951512824</v>
      </c>
      <c r="U40">
        <v>643777.354652472</v>
      </c>
      <c r="V40">
        <v>269306.2453310349</v>
      </c>
      <c r="W40">
        <v>1096010.30891485</v>
      </c>
      <c r="X40">
        <v>332452.4308957325</v>
      </c>
      <c r="Y40">
        <v>700836.6980753933</v>
      </c>
      <c r="Z40">
        <v>53475.6514142357</v>
      </c>
      <c r="AA40">
        <v>73111.70607148545</v>
      </c>
      <c r="AB40">
        <v>1810703.318100448</v>
      </c>
      <c r="AC40">
        <v>910347.783235634</v>
      </c>
      <c r="AD40">
        <v>22339227.56860796</v>
      </c>
      <c r="AE40">
        <v>27518284.67173881</v>
      </c>
      <c r="AF40">
        <v>3944202.540561055</v>
      </c>
      <c r="AG40">
        <v>154876.1431145877</v>
      </c>
      <c r="AH40">
        <v>303394.6782444386</v>
      </c>
      <c r="AI40">
        <v>2505586.922345499</v>
      </c>
      <c r="AJ40">
        <v>18815365.93125482</v>
      </c>
      <c r="AK40">
        <v>4448031.374652524</v>
      </c>
      <c r="AL40">
        <v>331602.0256372748</v>
      </c>
      <c r="AM40">
        <v>69902.22616225779</v>
      </c>
      <c r="AN40">
        <v>792068.0096690612</v>
      </c>
      <c r="AO40">
        <v>731265.7418224874</v>
      </c>
      <c r="AP40">
        <v>2345216.540201416</v>
      </c>
      <c r="AQ40">
        <v>125760.6100948163</v>
      </c>
      <c r="AR40">
        <v>1227300.49855304</v>
      </c>
      <c r="AS40">
        <v>489246.8848365212</v>
      </c>
      <c r="AT40">
        <v>20602.55674002819</v>
      </c>
      <c r="AU40">
        <v>753090.9106786259</v>
      </c>
      <c r="AV40">
        <v>286760.6892980453</v>
      </c>
      <c r="AW40">
        <v>14551.79158135142</v>
      </c>
      <c r="AX40">
        <v>388524.9479940967</v>
      </c>
      <c r="AY40">
        <v>206691.6876832939</v>
      </c>
      <c r="AZ40">
        <v>534328.5949453558</v>
      </c>
      <c r="BA40">
        <v>123647.8476752731</v>
      </c>
      <c r="BB40">
        <v>161736.2505111598</v>
      </c>
      <c r="BC40">
        <v>551226.2799569009</v>
      </c>
      <c r="BD40">
        <v>3610856.592880694</v>
      </c>
      <c r="BE40">
        <v>968720.7050429914</v>
      </c>
      <c r="BF40">
        <v>514822.4052577665</v>
      </c>
      <c r="BG40">
        <v>17766.26197506215</v>
      </c>
      <c r="BH40">
        <v>299437.6955317948</v>
      </c>
      <c r="BI40">
        <v>205077.0693711029</v>
      </c>
      <c r="BJ40">
        <v>75189.67985645024</v>
      </c>
      <c r="BK40">
        <v>247528.6770234089</v>
      </c>
      <c r="BL40">
        <v>261035.7508714153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59365716.59465104</v>
      </c>
      <c r="BT40">
        <v>359609.5501698368</v>
      </c>
      <c r="BU40">
        <v>532766.6705344856</v>
      </c>
      <c r="BV40">
        <v>2332644.248765287</v>
      </c>
      <c r="BW40">
        <f>SUM(B40:BV40)</f>
        <v>172691715.01989156</v>
      </c>
    </row>
    <row r="41" spans="1:75">
      <c r="A41" t="s">
        <v>38</v>
      </c>
      <c r="B41">
        <v>1239723.448326556</v>
      </c>
      <c r="C41">
        <v>149975.3084308972</v>
      </c>
      <c r="D41">
        <v>39029.01197470297</v>
      </c>
      <c r="E41">
        <v>1174550.838052803</v>
      </c>
      <c r="F41">
        <v>6505913.658366277</v>
      </c>
      <c r="G41">
        <v>3359013.928067998</v>
      </c>
      <c r="H41">
        <v>304296.7420114108</v>
      </c>
      <c r="I41">
        <v>799392.1326788137</v>
      </c>
      <c r="J41">
        <v>312525.5552605008</v>
      </c>
      <c r="K41">
        <v>260014.986299702</v>
      </c>
      <c r="L41">
        <v>827565.3691912853</v>
      </c>
      <c r="M41">
        <v>338203.2504344424</v>
      </c>
      <c r="N41">
        <v>1246066.045668706</v>
      </c>
      <c r="O41">
        <v>1557420.042444302</v>
      </c>
      <c r="P41">
        <v>1158417.120706197</v>
      </c>
      <c r="Q41">
        <v>1838146.956262186</v>
      </c>
      <c r="R41">
        <v>432047.8562030981</v>
      </c>
      <c r="S41">
        <v>1167310.225709168</v>
      </c>
      <c r="T41">
        <v>1804392.320123662</v>
      </c>
      <c r="U41">
        <v>2143416.796718635</v>
      </c>
      <c r="V41">
        <v>922085.920754142</v>
      </c>
      <c r="W41">
        <v>1168487.770589506</v>
      </c>
      <c r="X41">
        <v>1150145.644769468</v>
      </c>
      <c r="Y41">
        <v>2064786.223324231</v>
      </c>
      <c r="Z41">
        <v>333131.858495881</v>
      </c>
      <c r="AA41">
        <v>393429.1707276813</v>
      </c>
      <c r="AB41">
        <v>18556164.9570254</v>
      </c>
      <c r="AC41">
        <v>1709635.57540858</v>
      </c>
      <c r="AD41">
        <v>11929730.83356682</v>
      </c>
      <c r="AE41">
        <v>5292477.777936075</v>
      </c>
      <c r="AF41">
        <v>5350451.689280142</v>
      </c>
      <c r="AG41">
        <v>870906.1114704248</v>
      </c>
      <c r="AH41">
        <v>4624107.115404824</v>
      </c>
      <c r="AI41">
        <v>2268844.581310319</v>
      </c>
      <c r="AJ41">
        <v>712775.2922950546</v>
      </c>
      <c r="AK41">
        <v>38907044.24868646</v>
      </c>
      <c r="AL41">
        <v>268478.0339284049</v>
      </c>
      <c r="AM41">
        <v>764397.8844987354</v>
      </c>
      <c r="AN41">
        <v>541830.532123831</v>
      </c>
      <c r="AO41">
        <v>1054105.595204993</v>
      </c>
      <c r="AP41">
        <v>1675187.890167599</v>
      </c>
      <c r="AQ41">
        <v>164471.9993333083</v>
      </c>
      <c r="AR41">
        <v>620048.7298181183</v>
      </c>
      <c r="AS41">
        <v>4156300.906466526</v>
      </c>
      <c r="AT41">
        <v>96990.22690086818</v>
      </c>
      <c r="AU41">
        <v>3096996.8340338</v>
      </c>
      <c r="AV41">
        <v>1276337.645744799</v>
      </c>
      <c r="AW41">
        <v>46436.18945148729</v>
      </c>
      <c r="AX41">
        <v>1304669.488741297</v>
      </c>
      <c r="AY41">
        <v>748982.6151684615</v>
      </c>
      <c r="AZ41">
        <v>713522.2495406371</v>
      </c>
      <c r="BA41">
        <v>166949.1384981984</v>
      </c>
      <c r="BB41">
        <v>89460050.17335215</v>
      </c>
      <c r="BC41">
        <v>7969641.755992515</v>
      </c>
      <c r="BD41">
        <v>5789184.688095613</v>
      </c>
      <c r="BE41">
        <v>2241944.265515184</v>
      </c>
      <c r="BF41">
        <v>2136155.445437036</v>
      </c>
      <c r="BG41">
        <v>338905.2897744627</v>
      </c>
      <c r="BH41">
        <v>496936.5112333389</v>
      </c>
      <c r="BI41">
        <v>1663743.355160904</v>
      </c>
      <c r="BJ41">
        <v>1109679.538905059</v>
      </c>
      <c r="BK41">
        <v>123442.148805494</v>
      </c>
      <c r="BL41">
        <v>217827.1635345354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1395485729.061478</v>
      </c>
      <c r="BT41">
        <v>1893543.933011289</v>
      </c>
      <c r="BU41">
        <v>5763462.359979982</v>
      </c>
      <c r="BV41">
        <v>67910182.00461574</v>
      </c>
      <c r="BW41">
        <f>SUM(B41:BV41)</f>
        <v>1722207760.0184886</v>
      </c>
    </row>
    <row r="42" spans="1:75">
      <c r="A42" t="s">
        <v>39</v>
      </c>
      <c r="B42">
        <v>52079.96984323269</v>
      </c>
      <c r="C42">
        <v>8729.958494491973</v>
      </c>
      <c r="D42">
        <v>8760.276017547616</v>
      </c>
      <c r="E42">
        <v>218410.3772076627</v>
      </c>
      <c r="F42">
        <v>774122.9506650446</v>
      </c>
      <c r="G42">
        <v>648309.1518969971</v>
      </c>
      <c r="H42">
        <v>60331.06074909052</v>
      </c>
      <c r="I42">
        <v>457247.7031774445</v>
      </c>
      <c r="J42">
        <v>738626.2571871917</v>
      </c>
      <c r="K42">
        <v>305269.9961941928</v>
      </c>
      <c r="L42">
        <v>469448.6735593523</v>
      </c>
      <c r="M42">
        <v>124442.4162266015</v>
      </c>
      <c r="N42">
        <v>594853.0091741948</v>
      </c>
      <c r="O42">
        <v>364807.8715796936</v>
      </c>
      <c r="P42">
        <v>281760.0190244388</v>
      </c>
      <c r="Q42">
        <v>410317.689686087</v>
      </c>
      <c r="R42">
        <v>754317.6097092647</v>
      </c>
      <c r="S42">
        <v>857610.0494728986</v>
      </c>
      <c r="T42">
        <v>585866.117454774</v>
      </c>
      <c r="U42">
        <v>1323415.616426331</v>
      </c>
      <c r="V42">
        <v>921616.1391923085</v>
      </c>
      <c r="W42">
        <v>682647.6917937296</v>
      </c>
      <c r="X42">
        <v>312172.8705074078</v>
      </c>
      <c r="Y42">
        <v>446951.8134247559</v>
      </c>
      <c r="Z42">
        <v>40654.25737580321</v>
      </c>
      <c r="AA42">
        <v>46684.89216681778</v>
      </c>
      <c r="AB42">
        <v>2175692.886806102</v>
      </c>
      <c r="AC42">
        <v>385117.782796765</v>
      </c>
      <c r="AD42">
        <v>7542957.866547355</v>
      </c>
      <c r="AE42">
        <v>9032913.852626415</v>
      </c>
      <c r="AF42">
        <v>724912.794084177</v>
      </c>
      <c r="AG42">
        <v>146282.0925710633</v>
      </c>
      <c r="AH42">
        <v>1002084.80626827</v>
      </c>
      <c r="AI42">
        <v>521740.381929796</v>
      </c>
      <c r="AJ42">
        <v>411473.0385901806</v>
      </c>
      <c r="AK42">
        <v>1261619.649059033</v>
      </c>
      <c r="AL42">
        <v>2722886.11714811</v>
      </c>
      <c r="AM42">
        <v>605490.5865867884</v>
      </c>
      <c r="AN42">
        <v>906180.3134864155</v>
      </c>
      <c r="AO42">
        <v>6938224.154369171</v>
      </c>
      <c r="AP42">
        <v>1429819.970087694</v>
      </c>
      <c r="AQ42">
        <v>98192.54352781795</v>
      </c>
      <c r="AR42">
        <v>971439.4231548983</v>
      </c>
      <c r="AS42">
        <v>375976.4607813871</v>
      </c>
      <c r="AT42">
        <v>5542.037631952854</v>
      </c>
      <c r="AU42">
        <v>1498192.549668191</v>
      </c>
      <c r="AV42">
        <v>530843.075210444</v>
      </c>
      <c r="AW42">
        <v>116836.968270381</v>
      </c>
      <c r="AX42">
        <v>2633622.25006455</v>
      </c>
      <c r="AY42">
        <v>134147.3977245427</v>
      </c>
      <c r="AZ42">
        <v>195118.9428464916</v>
      </c>
      <c r="BA42">
        <v>59940.49281292538</v>
      </c>
      <c r="BB42">
        <v>188406.1880092371</v>
      </c>
      <c r="BC42">
        <v>841551.8425302637</v>
      </c>
      <c r="BD42">
        <v>3340058.075703076</v>
      </c>
      <c r="BE42">
        <v>2998530.638446409</v>
      </c>
      <c r="BF42">
        <v>853763.0263341422</v>
      </c>
      <c r="BG42">
        <v>51550.93149889835</v>
      </c>
      <c r="BH42">
        <v>615639.4649147476</v>
      </c>
      <c r="BI42">
        <v>105261.8792043811</v>
      </c>
      <c r="BJ42">
        <v>55854.39359334277</v>
      </c>
      <c r="BK42">
        <v>321658.74466099</v>
      </c>
      <c r="BL42">
        <v>52473.99751233011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34883638.01465768</v>
      </c>
      <c r="BT42">
        <v>2508954.160463199</v>
      </c>
      <c r="BU42">
        <v>4099269.819150269</v>
      </c>
      <c r="BV42">
        <v>10131582.56265763</v>
      </c>
      <c r="BW42">
        <f>SUM(B42:BV42)</f>
        <v>114964896.61219487</v>
      </c>
    </row>
    <row r="43" spans="1:75">
      <c r="A43" t="s">
        <v>40</v>
      </c>
      <c r="B43">
        <v>38266.00911329601</v>
      </c>
      <c r="C43">
        <v>1794.51096113662</v>
      </c>
      <c r="D43">
        <v>397.2438618782522</v>
      </c>
      <c r="E43">
        <v>54382.64976658615</v>
      </c>
      <c r="F43">
        <v>410444.4551536894</v>
      </c>
      <c r="G43">
        <v>245560.5070046453</v>
      </c>
      <c r="H43">
        <v>15518.13173760021</v>
      </c>
      <c r="I43">
        <v>55815.71495251565</v>
      </c>
      <c r="J43">
        <v>157189.2776499704</v>
      </c>
      <c r="K43">
        <v>13174.30454307936</v>
      </c>
      <c r="L43">
        <v>101159.431339048</v>
      </c>
      <c r="M43">
        <v>31766.01789293265</v>
      </c>
      <c r="N43">
        <v>75099.94420638088</v>
      </c>
      <c r="O43">
        <v>110546.2631498318</v>
      </c>
      <c r="P43">
        <v>50808.94192439541</v>
      </c>
      <c r="Q43">
        <v>78002.80761593881</v>
      </c>
      <c r="R43">
        <v>234760.5070828464</v>
      </c>
      <c r="S43">
        <v>425917.4687277434</v>
      </c>
      <c r="T43">
        <v>176837.9890339711</v>
      </c>
      <c r="U43">
        <v>223035.9772899495</v>
      </c>
      <c r="V43">
        <v>198891.4998207527</v>
      </c>
      <c r="W43">
        <v>159350.5993961985</v>
      </c>
      <c r="X43">
        <v>112894.0527717002</v>
      </c>
      <c r="Y43">
        <v>131442.5491550171</v>
      </c>
      <c r="Z43">
        <v>14444.50333532764</v>
      </c>
      <c r="AA43">
        <v>23539.63288076441</v>
      </c>
      <c r="AB43">
        <v>1350670.546840296</v>
      </c>
      <c r="AC43">
        <v>109202.1192085058</v>
      </c>
      <c r="AD43">
        <v>5501115.386876871</v>
      </c>
      <c r="AE43">
        <v>1917874.85560162</v>
      </c>
      <c r="AF43">
        <v>240661.1283230935</v>
      </c>
      <c r="AG43">
        <v>60552.52638939653</v>
      </c>
      <c r="AH43">
        <v>184490.5614316786</v>
      </c>
      <c r="AI43">
        <v>126431.8350952561</v>
      </c>
      <c r="AJ43">
        <v>43222.57829841146</v>
      </c>
      <c r="AK43">
        <v>578605.4002964962</v>
      </c>
      <c r="AL43">
        <v>750740.8479054228</v>
      </c>
      <c r="AM43">
        <v>18538795.49437731</v>
      </c>
      <c r="AN43">
        <v>1486057.934763287</v>
      </c>
      <c r="AO43">
        <v>1585447.666371644</v>
      </c>
      <c r="AP43">
        <v>1629921.119462861</v>
      </c>
      <c r="AQ43">
        <v>78360.54566795948</v>
      </c>
      <c r="AR43">
        <v>372450.878348275</v>
      </c>
      <c r="AS43">
        <v>496238.6698868865</v>
      </c>
      <c r="AT43">
        <v>8693.011657065303</v>
      </c>
      <c r="AU43">
        <v>1502901.158764389</v>
      </c>
      <c r="AV43">
        <v>148492.2605607036</v>
      </c>
      <c r="AW43">
        <v>83828.30347589208</v>
      </c>
      <c r="AX43">
        <v>24019316.36556841</v>
      </c>
      <c r="AY43">
        <v>330922.0119562364</v>
      </c>
      <c r="AZ43">
        <v>2573421.625612076</v>
      </c>
      <c r="BA43">
        <v>20263.21624827126</v>
      </c>
      <c r="BB43">
        <v>666913.3315783453</v>
      </c>
      <c r="BC43">
        <v>648440.6108389823</v>
      </c>
      <c r="BD43">
        <v>823187.8363555752</v>
      </c>
      <c r="BE43">
        <v>139816.7854100581</v>
      </c>
      <c r="BF43">
        <v>317293.0866123788</v>
      </c>
      <c r="BG43">
        <v>57160.61761213906</v>
      </c>
      <c r="BH43">
        <v>2029151.37725971</v>
      </c>
      <c r="BI43">
        <v>148912.1781489112</v>
      </c>
      <c r="BJ43">
        <v>474048.8794123482</v>
      </c>
      <c r="BK43">
        <v>33101.93382455016</v>
      </c>
      <c r="BL43">
        <v>41627.35355009857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34538152.56761561</v>
      </c>
      <c r="BT43">
        <v>15846825.28691999</v>
      </c>
      <c r="BU43">
        <v>1174999.278358963</v>
      </c>
      <c r="BV43">
        <v>14285139.76140278</v>
      </c>
      <c r="BW43">
        <f>SUM(B43:BV43)</f>
        <v>138104489.92425597</v>
      </c>
    </row>
    <row r="44" spans="1:75">
      <c r="A44" t="s">
        <v>41</v>
      </c>
      <c r="B44">
        <v>224943.9430855753</v>
      </c>
      <c r="C44">
        <v>179313.9259554651</v>
      </c>
      <c r="D44">
        <v>63346.66441338779</v>
      </c>
      <c r="E44">
        <v>540306.226499479</v>
      </c>
      <c r="F44">
        <v>1004229.93425803</v>
      </c>
      <c r="G44">
        <v>1515777.192288927</v>
      </c>
      <c r="H44">
        <v>113018.0492905988</v>
      </c>
      <c r="I44">
        <v>197321.7454681195</v>
      </c>
      <c r="J44">
        <v>156161.1015696407</v>
      </c>
      <c r="K44">
        <v>501852.225785431</v>
      </c>
      <c r="L44">
        <v>212852.0698053627</v>
      </c>
      <c r="M44">
        <v>98022.45036420415</v>
      </c>
      <c r="N44">
        <v>527856.6012602855</v>
      </c>
      <c r="O44">
        <v>485183.004023797</v>
      </c>
      <c r="P44">
        <v>453606.8171408507</v>
      </c>
      <c r="Q44">
        <v>791369.5315370295</v>
      </c>
      <c r="R44">
        <v>420919.7958928168</v>
      </c>
      <c r="S44">
        <v>979816.1234506193</v>
      </c>
      <c r="T44">
        <v>993358.3349144049</v>
      </c>
      <c r="U44">
        <v>3841271.30742412</v>
      </c>
      <c r="V44">
        <v>493432.6194076701</v>
      </c>
      <c r="W44">
        <v>529998.4405953244</v>
      </c>
      <c r="X44">
        <v>503641.8598810544</v>
      </c>
      <c r="Y44">
        <v>915487.1116947671</v>
      </c>
      <c r="Z44">
        <v>168980.4133723416</v>
      </c>
      <c r="AA44">
        <v>174805.6344982411</v>
      </c>
      <c r="AB44">
        <v>6992004.472908084</v>
      </c>
      <c r="AC44">
        <v>839434.5591771959</v>
      </c>
      <c r="AD44">
        <v>10874218.63237814</v>
      </c>
      <c r="AE44">
        <v>5945742.383621068</v>
      </c>
      <c r="AF44">
        <v>2413893.387212942</v>
      </c>
      <c r="AG44">
        <v>361071.889743658</v>
      </c>
      <c r="AH44">
        <v>1124739.172841955</v>
      </c>
      <c r="AI44">
        <v>1158799.678256271</v>
      </c>
      <c r="AJ44">
        <v>1579511.214471246</v>
      </c>
      <c r="AK44">
        <v>2957405.595141884</v>
      </c>
      <c r="AL44">
        <v>352638.6820440615</v>
      </c>
      <c r="AM44">
        <v>2598083.612083297</v>
      </c>
      <c r="AN44">
        <v>39652072.62944067</v>
      </c>
      <c r="AO44">
        <v>2900535.596917763</v>
      </c>
      <c r="AP44">
        <v>5494320.611292065</v>
      </c>
      <c r="AQ44">
        <v>167533.3448714763</v>
      </c>
      <c r="AR44">
        <v>1278096.862201552</v>
      </c>
      <c r="AS44">
        <v>1100759.646494773</v>
      </c>
      <c r="AT44">
        <v>52578.85983672917</v>
      </c>
      <c r="AU44">
        <v>2378141.973951597</v>
      </c>
      <c r="AV44">
        <v>630107.060976592</v>
      </c>
      <c r="AW44">
        <v>39428.89815380711</v>
      </c>
      <c r="AX44">
        <v>1580637.189275675</v>
      </c>
      <c r="AY44">
        <v>225139.123807113</v>
      </c>
      <c r="AZ44">
        <v>291275.3549200456</v>
      </c>
      <c r="BA44">
        <v>68506.35027665566</v>
      </c>
      <c r="BB44">
        <v>338109.1117810223</v>
      </c>
      <c r="BC44">
        <v>1066304.026076074</v>
      </c>
      <c r="BD44">
        <v>3860627.836595961</v>
      </c>
      <c r="BE44">
        <v>734702.6151815798</v>
      </c>
      <c r="BF44">
        <v>1522258.638174734</v>
      </c>
      <c r="BG44">
        <v>126728.6478663505</v>
      </c>
      <c r="BH44">
        <v>988901.6808783726</v>
      </c>
      <c r="BI44">
        <v>277982.8236798266</v>
      </c>
      <c r="BJ44">
        <v>991652.9066465549</v>
      </c>
      <c r="BK44">
        <v>312673.1335659233</v>
      </c>
      <c r="BL44">
        <v>235507.8616765037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135119709.7243968</v>
      </c>
      <c r="BT44">
        <v>77565.12118223115</v>
      </c>
      <c r="BU44">
        <v>5875628.503730334</v>
      </c>
      <c r="BV44">
        <v>5584544.193726267</v>
      </c>
      <c r="BW44">
        <f>SUM(B44:BV44)</f>
        <v>266256446.7313324</v>
      </c>
    </row>
    <row r="45" spans="1:75">
      <c r="A45" t="s">
        <v>42</v>
      </c>
      <c r="B45">
        <v>279800.5568517809</v>
      </c>
      <c r="C45">
        <v>20769.77494589044</v>
      </c>
      <c r="D45">
        <v>8167.060882880707</v>
      </c>
      <c r="E45">
        <v>1509605.42104916</v>
      </c>
      <c r="F45">
        <v>4069805.230529468</v>
      </c>
      <c r="G45">
        <v>3022265.112006237</v>
      </c>
      <c r="H45">
        <v>361150.0884492818</v>
      </c>
      <c r="I45">
        <v>1148879.607769031</v>
      </c>
      <c r="J45">
        <v>440454.1906793566</v>
      </c>
      <c r="K45">
        <v>844731.5237266085</v>
      </c>
      <c r="L45">
        <v>1704703.467735489</v>
      </c>
      <c r="M45">
        <v>640661.4818510921</v>
      </c>
      <c r="N45">
        <v>2073198.355750911</v>
      </c>
      <c r="O45">
        <v>1926987.712950688</v>
      </c>
      <c r="P45">
        <v>1558973.880558941</v>
      </c>
      <c r="Q45">
        <v>3088860.052333483</v>
      </c>
      <c r="R45">
        <v>2887790.689769692</v>
      </c>
      <c r="S45">
        <v>4245745.9302869</v>
      </c>
      <c r="T45">
        <v>4027222.891684824</v>
      </c>
      <c r="U45">
        <v>9024821.700671945</v>
      </c>
      <c r="V45">
        <v>8602356.508652687</v>
      </c>
      <c r="W45">
        <v>1311458.067650825</v>
      </c>
      <c r="X45">
        <v>1980103.500600131</v>
      </c>
      <c r="Y45">
        <v>3649745.113493146</v>
      </c>
      <c r="Z45">
        <v>625578.3319815634</v>
      </c>
      <c r="AA45">
        <v>219163.0756684184</v>
      </c>
      <c r="AB45">
        <v>14049591.34489451</v>
      </c>
      <c r="AC45">
        <v>2775379.635286693</v>
      </c>
      <c r="AD45">
        <v>19539391.89097197</v>
      </c>
      <c r="AE45">
        <v>22138741.47805312</v>
      </c>
      <c r="AF45">
        <v>4886646.606081285</v>
      </c>
      <c r="AG45">
        <v>1148863.06507201</v>
      </c>
      <c r="AH45">
        <v>16937509.33417089</v>
      </c>
      <c r="AI45">
        <v>4010953.739587715</v>
      </c>
      <c r="AJ45">
        <v>1172929.26033329</v>
      </c>
      <c r="AK45">
        <v>5333109.607023614</v>
      </c>
      <c r="AL45">
        <v>2459397.210055662</v>
      </c>
      <c r="AM45">
        <v>3891423.745545851</v>
      </c>
      <c r="AN45">
        <v>7080750.184833393</v>
      </c>
      <c r="AO45">
        <v>33882054.60457365</v>
      </c>
      <c r="AP45">
        <v>9967590.130764512</v>
      </c>
      <c r="AQ45">
        <v>687922.8281862397</v>
      </c>
      <c r="AR45">
        <v>1254969.527565305</v>
      </c>
      <c r="AS45">
        <v>3253833.757565968</v>
      </c>
      <c r="AT45">
        <v>122253.4699910103</v>
      </c>
      <c r="AU45">
        <v>6145987.993271244</v>
      </c>
      <c r="AV45">
        <v>3461850.36184239</v>
      </c>
      <c r="AW45">
        <v>345909.5701231419</v>
      </c>
      <c r="AX45">
        <v>11753220.2103001</v>
      </c>
      <c r="AY45">
        <v>525256.1232786248</v>
      </c>
      <c r="AZ45">
        <v>1306996.909826874</v>
      </c>
      <c r="BA45">
        <v>609972.2052915103</v>
      </c>
      <c r="BB45">
        <v>2199457.723924274</v>
      </c>
      <c r="BC45">
        <v>5646236.159286988</v>
      </c>
      <c r="BD45">
        <v>6086790.22814124</v>
      </c>
      <c r="BE45">
        <v>2241182.798131854</v>
      </c>
      <c r="BF45">
        <v>34680800.61585964</v>
      </c>
      <c r="BG45">
        <v>74725.81895447717</v>
      </c>
      <c r="BH45">
        <v>3719591.270233585</v>
      </c>
      <c r="BI45">
        <v>628772.4687962524</v>
      </c>
      <c r="BJ45">
        <v>1547151.667680132</v>
      </c>
      <c r="BK45">
        <v>455002.5701178332</v>
      </c>
      <c r="BL45">
        <v>255983.9618561674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9204479.941328298</v>
      </c>
      <c r="BT45">
        <v>2303421.446310266</v>
      </c>
      <c r="BU45">
        <v>275667874.6598072</v>
      </c>
      <c r="BV45">
        <v>52373806.83839011</v>
      </c>
      <c r="BW45">
        <f>SUM(B45:BV45)</f>
        <v>635100782.2918394</v>
      </c>
    </row>
    <row r="46" spans="1:75">
      <c r="A46" t="s">
        <v>43</v>
      </c>
      <c r="B46">
        <v>6222744.824135203</v>
      </c>
      <c r="C46">
        <v>170287.3610159931</v>
      </c>
      <c r="D46">
        <v>152138.9861975818</v>
      </c>
      <c r="E46">
        <v>7507160.534427501</v>
      </c>
      <c r="F46">
        <v>29138597.01826789</v>
      </c>
      <c r="G46">
        <v>23497279.61014172</v>
      </c>
      <c r="H46">
        <v>2384845.635001065</v>
      </c>
      <c r="I46">
        <v>3704877.383223919</v>
      </c>
      <c r="J46">
        <v>1141450.747141726</v>
      </c>
      <c r="K46">
        <v>3828427.514751941</v>
      </c>
      <c r="L46">
        <v>9840122.78729918</v>
      </c>
      <c r="M46">
        <v>1740457.341051618</v>
      </c>
      <c r="N46">
        <v>8646499.316967778</v>
      </c>
      <c r="O46">
        <v>9864929.663511066</v>
      </c>
      <c r="P46">
        <v>16227698.25038604</v>
      </c>
      <c r="Q46">
        <v>10213949.84850555</v>
      </c>
      <c r="R46">
        <v>2937684.58349178</v>
      </c>
      <c r="S46">
        <v>8895041.971231891</v>
      </c>
      <c r="T46">
        <v>10352241.33541709</v>
      </c>
      <c r="U46">
        <v>17474149.96381572</v>
      </c>
      <c r="V46">
        <v>5921758.733355733</v>
      </c>
      <c r="W46">
        <v>6004119.143667772</v>
      </c>
      <c r="X46">
        <v>4074586.566132747</v>
      </c>
      <c r="Y46">
        <v>35960960.46054241</v>
      </c>
      <c r="Z46">
        <v>1061888.47734447</v>
      </c>
      <c r="AA46">
        <v>3198585.140669771</v>
      </c>
      <c r="AB46">
        <v>46831678.65879296</v>
      </c>
      <c r="AC46">
        <v>12114081.8979393</v>
      </c>
      <c r="AD46">
        <v>43785022.49675986</v>
      </c>
      <c r="AE46">
        <v>21149815.10837937</v>
      </c>
      <c r="AF46">
        <v>31729197.14757657</v>
      </c>
      <c r="AG46">
        <v>3433571.143801078</v>
      </c>
      <c r="AH46">
        <v>7242424.653224383</v>
      </c>
      <c r="AI46">
        <v>16036273.64482395</v>
      </c>
      <c r="AJ46">
        <v>1673484.580388916</v>
      </c>
      <c r="AK46">
        <v>18257299.41532331</v>
      </c>
      <c r="AL46">
        <v>600952.5682455375</v>
      </c>
      <c r="AM46">
        <v>1305960.375851588</v>
      </c>
      <c r="AN46">
        <v>4565620.701738098</v>
      </c>
      <c r="AO46">
        <v>4356085.34720437</v>
      </c>
      <c r="AP46">
        <v>175777642.5880135</v>
      </c>
      <c r="AQ46">
        <v>17770707.13197439</v>
      </c>
      <c r="AR46">
        <v>7068723.609712904</v>
      </c>
      <c r="AS46">
        <v>8033021.133802189</v>
      </c>
      <c r="AT46">
        <v>16805036.44038112</v>
      </c>
      <c r="AU46">
        <v>4736561.273114823</v>
      </c>
      <c r="AV46">
        <v>5229986.769705896</v>
      </c>
      <c r="AW46">
        <v>290492.1576951785</v>
      </c>
      <c r="AX46">
        <v>2279964.239474485</v>
      </c>
      <c r="AY46">
        <v>772255.8197494276</v>
      </c>
      <c r="AZ46">
        <v>3371408.017866687</v>
      </c>
      <c r="BA46">
        <v>2336408.805195046</v>
      </c>
      <c r="BB46">
        <v>7144885.451756803</v>
      </c>
      <c r="BC46">
        <v>4782119.769592175</v>
      </c>
      <c r="BD46">
        <v>20540665.50005083</v>
      </c>
      <c r="BE46">
        <v>12618420.58136063</v>
      </c>
      <c r="BF46">
        <v>13761355.71388277</v>
      </c>
      <c r="BG46">
        <v>808675.1850266723</v>
      </c>
      <c r="BH46">
        <v>3916439.374422786</v>
      </c>
      <c r="BI46">
        <v>4589218.185862245</v>
      </c>
      <c r="BJ46">
        <v>4366165.363516417</v>
      </c>
      <c r="BK46">
        <v>542852.8555924312</v>
      </c>
      <c r="BL46">
        <v>939022.736096262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265748580.8439448</v>
      </c>
      <c r="BT46">
        <v>4257356.690513899</v>
      </c>
      <c r="BU46">
        <v>0</v>
      </c>
      <c r="BV46">
        <v>24948491.41840394</v>
      </c>
      <c r="BW46">
        <f>SUM(B46:BV46)</f>
        <v>1056680408.5944527</v>
      </c>
    </row>
    <row r="47" spans="1:75">
      <c r="A47" t="s">
        <v>44</v>
      </c>
      <c r="B47">
        <v>919859.7406012429</v>
      </c>
      <c r="C47">
        <v>7161.265645819336</v>
      </c>
      <c r="D47">
        <v>263044.5308560142</v>
      </c>
      <c r="E47">
        <v>7335701.323917449</v>
      </c>
      <c r="F47">
        <v>6072046.566979594</v>
      </c>
      <c r="G47">
        <v>3868747.915300609</v>
      </c>
      <c r="H47">
        <v>726216.8815571353</v>
      </c>
      <c r="I47">
        <v>1272012.744929855</v>
      </c>
      <c r="J47">
        <v>484746.0425450804</v>
      </c>
      <c r="K47">
        <v>220033.1566173983</v>
      </c>
      <c r="L47">
        <v>1362092.938643922</v>
      </c>
      <c r="M47">
        <v>334978.5678671713</v>
      </c>
      <c r="N47">
        <v>2064210.078751668</v>
      </c>
      <c r="O47">
        <v>4475523.982775598</v>
      </c>
      <c r="P47">
        <v>3197502.697355333</v>
      </c>
      <c r="Q47">
        <v>3815386.822492699</v>
      </c>
      <c r="R47">
        <v>482962.4291579022</v>
      </c>
      <c r="S47">
        <v>2896373.327252951</v>
      </c>
      <c r="T47">
        <v>4204235.370283272</v>
      </c>
      <c r="U47">
        <v>3443715.628286335</v>
      </c>
      <c r="V47">
        <v>3394865.755758966</v>
      </c>
      <c r="W47">
        <v>797472.126901026</v>
      </c>
      <c r="X47">
        <v>726046.0331015455</v>
      </c>
      <c r="Y47">
        <v>11559550.84109947</v>
      </c>
      <c r="Z47">
        <v>152200.2484975457</v>
      </c>
      <c r="AA47">
        <v>933491.3910003465</v>
      </c>
      <c r="AB47">
        <v>14294732.15692338</v>
      </c>
      <c r="AC47">
        <v>9391789.934232257</v>
      </c>
      <c r="AD47">
        <v>22635096.0956911</v>
      </c>
      <c r="AE47">
        <v>6606855.143506205</v>
      </c>
      <c r="AF47">
        <v>11039422.20345851</v>
      </c>
      <c r="AG47">
        <v>2521058.723227684</v>
      </c>
      <c r="AH47">
        <v>4080462.009841156</v>
      </c>
      <c r="AI47">
        <v>6732227.79503403</v>
      </c>
      <c r="AJ47">
        <v>1719459.464055647</v>
      </c>
      <c r="AK47">
        <v>4392118.800145468</v>
      </c>
      <c r="AL47">
        <v>244806.4638156675</v>
      </c>
      <c r="AM47">
        <v>315132.4039404972</v>
      </c>
      <c r="AN47">
        <v>2013528.449734395</v>
      </c>
      <c r="AO47">
        <v>1243625.143126447</v>
      </c>
      <c r="AP47">
        <v>3907024.980290016</v>
      </c>
      <c r="AQ47">
        <v>60630194.81750551</v>
      </c>
      <c r="AR47">
        <v>999757.7329616806</v>
      </c>
      <c r="AS47">
        <v>2905795.575931781</v>
      </c>
      <c r="AT47">
        <v>2390142.779278213</v>
      </c>
      <c r="AU47">
        <v>2801598.921016733</v>
      </c>
      <c r="AV47">
        <v>1852745.132408789</v>
      </c>
      <c r="AW47">
        <v>51128.65188870369</v>
      </c>
      <c r="AX47">
        <v>243181.1330865577</v>
      </c>
      <c r="AY47">
        <v>22648.26230223991</v>
      </c>
      <c r="AZ47">
        <v>8165033.918015704</v>
      </c>
      <c r="BA47">
        <v>235499.4031670214</v>
      </c>
      <c r="BB47">
        <v>337694.7512877642</v>
      </c>
      <c r="BC47">
        <v>1750214.645774176</v>
      </c>
      <c r="BD47">
        <v>10380128.65356838</v>
      </c>
      <c r="BE47">
        <v>2268148.434816476</v>
      </c>
      <c r="BF47">
        <v>4538094.463163371</v>
      </c>
      <c r="BG47">
        <v>84448.5529120514</v>
      </c>
      <c r="BH47">
        <v>721940.086460893</v>
      </c>
      <c r="BI47">
        <v>615812.3202720219</v>
      </c>
      <c r="BJ47">
        <v>89259.1927086545</v>
      </c>
      <c r="BK47">
        <v>337113.4101646221</v>
      </c>
      <c r="BL47">
        <v>70194.11034389347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105516947.7199557</v>
      </c>
      <c r="BT47">
        <v>5005575.723521454</v>
      </c>
      <c r="BU47">
        <v>0</v>
      </c>
      <c r="BV47">
        <v>65225781.46643343</v>
      </c>
      <c r="BW47">
        <f>SUM(B47:BV47)</f>
        <v>433386598.03414416</v>
      </c>
    </row>
    <row r="48" spans="1:75">
      <c r="A48" t="s">
        <v>45</v>
      </c>
      <c r="B48">
        <v>0</v>
      </c>
      <c r="C48">
        <v>0</v>
      </c>
      <c r="D48">
        <v>0</v>
      </c>
      <c r="E48">
        <v>2010950.853460763</v>
      </c>
      <c r="F48">
        <v>2898923.288149313</v>
      </c>
      <c r="G48">
        <v>350897.7075824025</v>
      </c>
      <c r="H48">
        <v>138930.8673600035</v>
      </c>
      <c r="I48">
        <v>234673.1220007668</v>
      </c>
      <c r="J48">
        <v>22011.98989360616</v>
      </c>
      <c r="K48">
        <v>6267.179378250749</v>
      </c>
      <c r="L48">
        <v>357675.4473637426</v>
      </c>
      <c r="M48">
        <v>23503.47654218363</v>
      </c>
      <c r="N48">
        <v>353859.0513277688</v>
      </c>
      <c r="O48">
        <v>858029.9527265455</v>
      </c>
      <c r="P48">
        <v>248753.1643717173</v>
      </c>
      <c r="Q48">
        <v>572683.1311745103</v>
      </c>
      <c r="R48">
        <v>6634.899835268128</v>
      </c>
      <c r="S48">
        <v>3611221.663756052</v>
      </c>
      <c r="T48">
        <v>578340.4254924592</v>
      </c>
      <c r="U48">
        <v>36982.12856942837</v>
      </c>
      <c r="V48">
        <v>241095.1271349681</v>
      </c>
      <c r="W48">
        <v>385698.057560727</v>
      </c>
      <c r="X48">
        <v>14897.01062942196</v>
      </c>
      <c r="Y48">
        <v>514559.2779550165</v>
      </c>
      <c r="Z48">
        <v>27448.60010603754</v>
      </c>
      <c r="AA48">
        <v>70790.28974151021</v>
      </c>
      <c r="AB48">
        <v>977180.9766243609</v>
      </c>
      <c r="AC48">
        <v>350796.3099312739</v>
      </c>
      <c r="AD48">
        <v>6893741.486163798</v>
      </c>
      <c r="AE48">
        <v>815230.234142471</v>
      </c>
      <c r="AF48">
        <v>60298.44918875412</v>
      </c>
      <c r="AG48">
        <v>156671.6428272196</v>
      </c>
      <c r="AH48">
        <v>2684194.488698396</v>
      </c>
      <c r="AI48">
        <v>1256141.138346277</v>
      </c>
      <c r="AJ48">
        <v>240381.4648128719</v>
      </c>
      <c r="AK48">
        <v>386715.2591091274</v>
      </c>
      <c r="AL48">
        <v>165357.785220295</v>
      </c>
      <c r="AM48">
        <v>32175.53937248676</v>
      </c>
      <c r="AN48">
        <v>538783.4507089531</v>
      </c>
      <c r="AO48">
        <v>830392.9780438042</v>
      </c>
      <c r="AP48">
        <v>3834168.820228218</v>
      </c>
      <c r="AQ48">
        <v>8415288.720441936</v>
      </c>
      <c r="AR48">
        <v>8194831.483637868</v>
      </c>
      <c r="AS48">
        <v>1664225.79679177</v>
      </c>
      <c r="AT48">
        <v>0</v>
      </c>
      <c r="AU48">
        <v>2468111.142433848</v>
      </c>
      <c r="AV48">
        <v>299035.9100695456</v>
      </c>
      <c r="AW48">
        <v>0</v>
      </c>
      <c r="AX48">
        <v>30138.81265088784</v>
      </c>
      <c r="AY48">
        <v>159577.8196476021</v>
      </c>
      <c r="AZ48">
        <v>48011.64566682719</v>
      </c>
      <c r="BA48">
        <v>68541.11344375268</v>
      </c>
      <c r="BB48">
        <v>88449.41042607707</v>
      </c>
      <c r="BC48">
        <v>278030.0720068695</v>
      </c>
      <c r="BD48">
        <v>1312254.168289485</v>
      </c>
      <c r="BE48">
        <v>796418.2537556052</v>
      </c>
      <c r="BF48">
        <v>1181281.911599993</v>
      </c>
      <c r="BG48">
        <v>1094.955643629029</v>
      </c>
      <c r="BH48">
        <v>49241.60853326989</v>
      </c>
      <c r="BI48">
        <v>84002.10086968249</v>
      </c>
      <c r="BJ48">
        <v>0</v>
      </c>
      <c r="BK48">
        <v>25044.7777712342</v>
      </c>
      <c r="BL48">
        <v>1.134557511065905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84105989.11141357</v>
      </c>
      <c r="BT48">
        <v>1079294.624577465</v>
      </c>
      <c r="BU48">
        <v>0</v>
      </c>
      <c r="BV48">
        <v>2056896.168620505</v>
      </c>
      <c r="BW48">
        <f>SUM(B48:BV48)</f>
        <v>145192817.4783797</v>
      </c>
    </row>
    <row r="49" spans="1:75">
      <c r="A49" t="s">
        <v>46</v>
      </c>
      <c r="B49">
        <v>1649067.673395761</v>
      </c>
      <c r="C49">
        <v>33860.26643344158</v>
      </c>
      <c r="D49">
        <v>131414.5081991481</v>
      </c>
      <c r="E49">
        <v>2224623.296820247</v>
      </c>
      <c r="F49">
        <v>5181698.209996331</v>
      </c>
      <c r="G49">
        <v>13774740.63649997</v>
      </c>
      <c r="H49">
        <v>714072.8235469696</v>
      </c>
      <c r="I49">
        <v>1762177.617248593</v>
      </c>
      <c r="J49">
        <v>472422.8758164013</v>
      </c>
      <c r="K49">
        <v>2239158.202719715</v>
      </c>
      <c r="L49">
        <v>1909373.66355261</v>
      </c>
      <c r="M49">
        <v>327001.6870838518</v>
      </c>
      <c r="N49">
        <v>5088805.006907059</v>
      </c>
      <c r="O49">
        <v>5499679.452480364</v>
      </c>
      <c r="P49">
        <v>7471439.926084412</v>
      </c>
      <c r="Q49">
        <v>4013846.841551905</v>
      </c>
      <c r="R49">
        <v>814472.6806021746</v>
      </c>
      <c r="S49">
        <v>1660035.919887287</v>
      </c>
      <c r="T49">
        <v>3200074.352431273</v>
      </c>
      <c r="U49">
        <v>6153908.170383232</v>
      </c>
      <c r="V49">
        <v>2687017.814947029</v>
      </c>
      <c r="W49">
        <v>2218373.912358149</v>
      </c>
      <c r="X49">
        <v>740151.2031930621</v>
      </c>
      <c r="Y49">
        <v>62433307.92319146</v>
      </c>
      <c r="Z49">
        <v>672652.7270541998</v>
      </c>
      <c r="AA49">
        <v>1002436.460559936</v>
      </c>
      <c r="AB49">
        <v>33316244.00053948</v>
      </c>
      <c r="AC49">
        <v>12006917.49832201</v>
      </c>
      <c r="AD49">
        <v>94431700.12766092</v>
      </c>
      <c r="AE49">
        <v>124215615.5134391</v>
      </c>
      <c r="AF49">
        <v>5320619.983651255</v>
      </c>
      <c r="AG49">
        <v>1105977.752689558</v>
      </c>
      <c r="AH49">
        <v>11101965.68994121</v>
      </c>
      <c r="AI49">
        <v>26051063.45492685</v>
      </c>
      <c r="AJ49">
        <v>8628160.66935448</v>
      </c>
      <c r="AK49">
        <v>27171107.46007612</v>
      </c>
      <c r="AL49">
        <v>287522.9277136062</v>
      </c>
      <c r="AM49">
        <v>1336939.752620648</v>
      </c>
      <c r="AN49">
        <v>11027171.67851709</v>
      </c>
      <c r="AO49">
        <v>2068442.711519862</v>
      </c>
      <c r="AP49">
        <v>54017536.13265581</v>
      </c>
      <c r="AQ49">
        <v>2079848.05645819</v>
      </c>
      <c r="AR49">
        <v>13342141.27870881</v>
      </c>
      <c r="AS49">
        <v>45653707.27030823</v>
      </c>
      <c r="AT49">
        <v>118956.1589569952</v>
      </c>
      <c r="AU49">
        <v>5490288.944862145</v>
      </c>
      <c r="AV49">
        <v>1669211.434389255</v>
      </c>
      <c r="AW49">
        <v>251875.16261208</v>
      </c>
      <c r="AX49">
        <v>961645.9283376349</v>
      </c>
      <c r="AY49">
        <v>514502.8566294378</v>
      </c>
      <c r="AZ49">
        <v>1052317.167601976</v>
      </c>
      <c r="BA49">
        <v>116661.221694656</v>
      </c>
      <c r="BB49">
        <v>3439901.014875314</v>
      </c>
      <c r="BC49">
        <v>8961594.824085217</v>
      </c>
      <c r="BD49">
        <v>14042290.14823614</v>
      </c>
      <c r="BE49">
        <v>8436073.804159692</v>
      </c>
      <c r="BF49">
        <v>19686992.71028725</v>
      </c>
      <c r="BG49">
        <v>821768.0773044548</v>
      </c>
      <c r="BH49">
        <v>1571087.363432854</v>
      </c>
      <c r="BI49">
        <v>3105551.881594534</v>
      </c>
      <c r="BJ49">
        <v>3038513.521326574</v>
      </c>
      <c r="BK49">
        <v>129587.9850931142</v>
      </c>
      <c r="BL49">
        <v>733447.7385412762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461598437.0672041</v>
      </c>
      <c r="BT49">
        <v>2362029.680127329</v>
      </c>
      <c r="BU49">
        <v>7827067.183162446</v>
      </c>
      <c r="BV49">
        <v>2379474.944469561</v>
      </c>
      <c r="BW49">
        <f>SUM(B49:BV49)</f>
        <v>1155547772.6310318</v>
      </c>
    </row>
    <row r="50" spans="1:75">
      <c r="A50" t="s">
        <v>47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939200305.2809546</v>
      </c>
      <c r="BT50">
        <v>0</v>
      </c>
      <c r="BU50">
        <v>0</v>
      </c>
      <c r="BV50">
        <v>0</v>
      </c>
      <c r="BW50">
        <f>SUM(B50:BV50)</f>
        <v>939200305.2809546</v>
      </c>
    </row>
    <row r="51" spans="1:75">
      <c r="A51" t="s">
        <v>48</v>
      </c>
      <c r="B51">
        <v>379078.0925007587</v>
      </c>
      <c r="C51">
        <v>85220.31997001638</v>
      </c>
      <c r="D51">
        <v>234576.4289257067</v>
      </c>
      <c r="E51">
        <v>4022580.696264191</v>
      </c>
      <c r="F51">
        <v>9447296.971369587</v>
      </c>
      <c r="G51">
        <v>5563490.516842408</v>
      </c>
      <c r="H51">
        <v>540183.290445853</v>
      </c>
      <c r="I51">
        <v>2553083.325213835</v>
      </c>
      <c r="J51">
        <v>537572.2366131041</v>
      </c>
      <c r="K51">
        <v>2669226.588140555</v>
      </c>
      <c r="L51">
        <v>3820696.391398891</v>
      </c>
      <c r="M51">
        <v>857939.3364020503</v>
      </c>
      <c r="N51">
        <v>4897439.689432529</v>
      </c>
      <c r="O51">
        <v>4292013.267466266</v>
      </c>
      <c r="P51">
        <v>4124697.324940858</v>
      </c>
      <c r="Q51">
        <v>3543626.409503557</v>
      </c>
      <c r="R51">
        <v>929845.2852813104</v>
      </c>
      <c r="S51">
        <v>4585305.600778993</v>
      </c>
      <c r="T51">
        <v>2852336.734554122</v>
      </c>
      <c r="U51">
        <v>7684536.511231022</v>
      </c>
      <c r="V51">
        <v>1602858.921909012</v>
      </c>
      <c r="W51">
        <v>2333073.530929475</v>
      </c>
      <c r="X51">
        <v>1314486.706224671</v>
      </c>
      <c r="Y51">
        <v>9904782.45737078</v>
      </c>
      <c r="Z51">
        <v>116861.9378003345</v>
      </c>
      <c r="AA51">
        <v>718396.524732337</v>
      </c>
      <c r="AB51">
        <v>24122676.83951256</v>
      </c>
      <c r="AC51">
        <v>5723839.834666093</v>
      </c>
      <c r="AD51">
        <v>49296047.08047035</v>
      </c>
      <c r="AE51">
        <v>19465570.61248248</v>
      </c>
      <c r="AF51">
        <v>6393517.347637622</v>
      </c>
      <c r="AG51">
        <v>2595294.944321865</v>
      </c>
      <c r="AH51">
        <v>3655520.959510844</v>
      </c>
      <c r="AI51">
        <v>9141484.087593462</v>
      </c>
      <c r="AJ51">
        <v>1299108.423095163</v>
      </c>
      <c r="AK51">
        <v>7093003.226833465</v>
      </c>
      <c r="AL51">
        <v>1888413.011922248</v>
      </c>
      <c r="AM51">
        <v>3883651.640308049</v>
      </c>
      <c r="AN51">
        <v>1377839.658289875</v>
      </c>
      <c r="AO51">
        <v>13002502.19023096</v>
      </c>
      <c r="AP51">
        <v>31476669.39175298</v>
      </c>
      <c r="AQ51">
        <v>862434.4714354976</v>
      </c>
      <c r="AR51">
        <v>4407155.554738801</v>
      </c>
      <c r="AS51">
        <v>12731085.00028235</v>
      </c>
      <c r="AT51">
        <v>150986.4617636546</v>
      </c>
      <c r="AU51">
        <v>24148698.4425801</v>
      </c>
      <c r="AV51">
        <v>2275640.33782235</v>
      </c>
      <c r="AW51">
        <v>216467.7983979017</v>
      </c>
      <c r="AX51">
        <v>9294459.185969744</v>
      </c>
      <c r="AY51">
        <v>822312.249504249</v>
      </c>
      <c r="AZ51">
        <v>2104768.452517493</v>
      </c>
      <c r="BA51">
        <v>674987.1713267363</v>
      </c>
      <c r="BB51">
        <v>1663815.247637938</v>
      </c>
      <c r="BC51">
        <v>3636541.063253132</v>
      </c>
      <c r="BD51">
        <v>13686736.88174765</v>
      </c>
      <c r="BE51">
        <v>2289346.077337877</v>
      </c>
      <c r="BF51">
        <v>16771889.57712565</v>
      </c>
      <c r="BG51">
        <v>134944.7512944943</v>
      </c>
      <c r="BH51">
        <v>1698599.371925961</v>
      </c>
      <c r="BI51">
        <v>2932900.496512468</v>
      </c>
      <c r="BJ51">
        <v>8208370.023762847</v>
      </c>
      <c r="BK51">
        <v>133472.6185517673</v>
      </c>
      <c r="BL51">
        <v>336726.1924776151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42527032.42037818</v>
      </c>
      <c r="BT51">
        <v>351313.9195031227</v>
      </c>
      <c r="BU51">
        <v>7550242.476295308</v>
      </c>
      <c r="BV51">
        <v>21417211.3637221</v>
      </c>
      <c r="BW51">
        <f>SUM(B51:BV51)</f>
        <v>441054481.95273525</v>
      </c>
    </row>
    <row r="52" spans="1:75">
      <c r="A52" t="s">
        <v>49</v>
      </c>
      <c r="B52">
        <v>288633.6917803634</v>
      </c>
      <c r="C52">
        <v>42889.64466478022</v>
      </c>
      <c r="D52">
        <v>12295.63657761344</v>
      </c>
      <c r="E52">
        <v>9633957.553310411</v>
      </c>
      <c r="F52">
        <v>6794299.960689715</v>
      </c>
      <c r="G52">
        <v>5381456.297088607</v>
      </c>
      <c r="H52">
        <v>600580.7145265533</v>
      </c>
      <c r="I52">
        <v>1193987.940609245</v>
      </c>
      <c r="J52">
        <v>189363.4497356876</v>
      </c>
      <c r="K52">
        <v>1281481.51620736</v>
      </c>
      <c r="L52">
        <v>2002392.072930476</v>
      </c>
      <c r="M52">
        <v>705135.6666109922</v>
      </c>
      <c r="N52">
        <v>2610467.104148268</v>
      </c>
      <c r="O52">
        <v>4136514.756286314</v>
      </c>
      <c r="P52">
        <v>4292904.104509902</v>
      </c>
      <c r="Q52">
        <v>5155617.029130089</v>
      </c>
      <c r="R52">
        <v>1535160.945733624</v>
      </c>
      <c r="S52">
        <v>3338222.771470864</v>
      </c>
      <c r="T52">
        <v>4794554.074378448</v>
      </c>
      <c r="U52">
        <v>7776131.352154378</v>
      </c>
      <c r="V52">
        <v>17389439.87314905</v>
      </c>
      <c r="W52">
        <v>2075566.669485317</v>
      </c>
      <c r="X52">
        <v>3356824.729818914</v>
      </c>
      <c r="Y52">
        <v>20187944.13788256</v>
      </c>
      <c r="Z52">
        <v>610028.1518778681</v>
      </c>
      <c r="AA52">
        <v>698416.0620489744</v>
      </c>
      <c r="AB52">
        <v>70899340.04095347</v>
      </c>
      <c r="AC52">
        <v>1852282.400218928</v>
      </c>
      <c r="AD52">
        <v>6748032.562981886</v>
      </c>
      <c r="AE52">
        <v>4752184.057483768</v>
      </c>
      <c r="AF52">
        <v>5396025.414077457</v>
      </c>
      <c r="AG52">
        <v>1435709.227855543</v>
      </c>
      <c r="AH52">
        <v>8107754.808142905</v>
      </c>
      <c r="AI52">
        <v>2486185.259424662</v>
      </c>
      <c r="AJ52">
        <v>366674.285767798</v>
      </c>
      <c r="AK52">
        <v>6505879.1805849</v>
      </c>
      <c r="AL52">
        <v>100428.317807488</v>
      </c>
      <c r="AM52">
        <v>411644.4468353613</v>
      </c>
      <c r="AN52">
        <v>1080611.10766167</v>
      </c>
      <c r="AO52">
        <v>2359335.855897468</v>
      </c>
      <c r="AP52">
        <v>227250.7207986303</v>
      </c>
      <c r="AQ52">
        <v>73474.15411335549</v>
      </c>
      <c r="AR52">
        <v>131147.0364394226</v>
      </c>
      <c r="AS52">
        <v>5368373.238458449</v>
      </c>
      <c r="AT52">
        <v>2940273.755049472</v>
      </c>
      <c r="AU52">
        <v>2259716.699856753</v>
      </c>
      <c r="AV52">
        <v>23570985.15689303</v>
      </c>
      <c r="AW52">
        <v>383175.4432001089</v>
      </c>
      <c r="AX52">
        <v>543555.8500101708</v>
      </c>
      <c r="AY52">
        <v>805513.7470672406</v>
      </c>
      <c r="AZ52">
        <v>1082619.050375225</v>
      </c>
      <c r="BA52">
        <v>250968.7343453292</v>
      </c>
      <c r="BB52">
        <v>514941.3805250491</v>
      </c>
      <c r="BC52">
        <v>1441233.605104551</v>
      </c>
      <c r="BD52">
        <v>14145419.05478</v>
      </c>
      <c r="BE52">
        <v>889510.501875513</v>
      </c>
      <c r="BF52">
        <v>1286265.615129952</v>
      </c>
      <c r="BG52">
        <v>123617.7886140843</v>
      </c>
      <c r="BH52">
        <v>168221.2101874352</v>
      </c>
      <c r="BI52">
        <v>406019.3127182547</v>
      </c>
      <c r="BJ52">
        <v>83816.6721253213</v>
      </c>
      <c r="BK52">
        <v>130429.1864483346</v>
      </c>
      <c r="BL52">
        <v>237439.9156707858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7305243.336426452</v>
      </c>
      <c r="BT52">
        <v>862292.3096057686</v>
      </c>
      <c r="BU52">
        <v>60171669.29128502</v>
      </c>
      <c r="BV52">
        <v>43297822.7539339</v>
      </c>
      <c r="BW52">
        <f>SUM(B52:BV52)</f>
        <v>387287348.3935373</v>
      </c>
    </row>
    <row r="53" spans="1:75">
      <c r="A53" t="s">
        <v>50</v>
      </c>
      <c r="B53">
        <v>125140.2486011737</v>
      </c>
      <c r="C53">
        <v>483.7397681542319</v>
      </c>
      <c r="D53">
        <v>1042.285206146177</v>
      </c>
      <c r="E53">
        <v>15561.90901066268</v>
      </c>
      <c r="F53">
        <v>190366.7972117132</v>
      </c>
      <c r="G53">
        <v>75299.1169841614</v>
      </c>
      <c r="H53">
        <v>9693.556373481908</v>
      </c>
      <c r="I53">
        <v>17472.4892370429</v>
      </c>
      <c r="J53">
        <v>7464.779339208754</v>
      </c>
      <c r="K53">
        <v>12754.60152991377</v>
      </c>
      <c r="L53">
        <v>132165.3211558283</v>
      </c>
      <c r="M53">
        <v>27026.7105383001</v>
      </c>
      <c r="N53">
        <v>73156.13689465683</v>
      </c>
      <c r="O53">
        <v>27672.02498818055</v>
      </c>
      <c r="P53">
        <v>21817.11985530769</v>
      </c>
      <c r="Q53">
        <v>28925.46202418979</v>
      </c>
      <c r="R53">
        <v>95239.03049806118</v>
      </c>
      <c r="S53">
        <v>52484.3677494602</v>
      </c>
      <c r="T53">
        <v>42464.69005772026</v>
      </c>
      <c r="U53">
        <v>56312.1044497402</v>
      </c>
      <c r="V53">
        <v>77966.47172269173</v>
      </c>
      <c r="W53">
        <v>18505.49793913771</v>
      </c>
      <c r="X53">
        <v>20830.97085587971</v>
      </c>
      <c r="Y53">
        <v>34877.67765659022</v>
      </c>
      <c r="Z53">
        <v>2126.272905001216</v>
      </c>
      <c r="AA53">
        <v>8305.922395993683</v>
      </c>
      <c r="AB53">
        <v>130558.664444093</v>
      </c>
      <c r="AC53">
        <v>18435.01131577275</v>
      </c>
      <c r="AD53">
        <v>95514.87670737418</v>
      </c>
      <c r="AE53">
        <v>82042.92311524131</v>
      </c>
      <c r="AF53">
        <v>65679.19558510558</v>
      </c>
      <c r="AG53">
        <v>16897.5905473649</v>
      </c>
      <c r="AH53">
        <v>69414.77857860463</v>
      </c>
      <c r="AI53">
        <v>49024.00928772095</v>
      </c>
      <c r="AJ53">
        <v>8003.87997933424</v>
      </c>
      <c r="AK53">
        <v>36272.76016783623</v>
      </c>
      <c r="AL53">
        <v>17678.0130257872</v>
      </c>
      <c r="AM53">
        <v>6631.809880394907</v>
      </c>
      <c r="AN53">
        <v>20533.06979594497</v>
      </c>
      <c r="AO53">
        <v>77495.32337296318</v>
      </c>
      <c r="AP53">
        <v>38011.80349854995</v>
      </c>
      <c r="AQ53">
        <v>13289.6514296427</v>
      </c>
      <c r="AR53">
        <v>12959.77832096375</v>
      </c>
      <c r="AS53">
        <v>15679.56000171207</v>
      </c>
      <c r="AT53">
        <v>3930.652391936003</v>
      </c>
      <c r="AU53">
        <v>25222.90681006276</v>
      </c>
      <c r="AV53">
        <v>27272.45415246062</v>
      </c>
      <c r="AW53">
        <v>34957.69127574126</v>
      </c>
      <c r="AX53">
        <v>24367.66318116397</v>
      </c>
      <c r="AY53">
        <v>4553.899756575843</v>
      </c>
      <c r="AZ53">
        <v>13398.80365689778</v>
      </c>
      <c r="BA53">
        <v>2125.386827372794</v>
      </c>
      <c r="BB53">
        <v>6100.619971395812</v>
      </c>
      <c r="BC53">
        <v>19253.95504771667</v>
      </c>
      <c r="BD53">
        <v>45951.37008882385</v>
      </c>
      <c r="BE53">
        <v>28098.76770124927</v>
      </c>
      <c r="BF53">
        <v>51605.90909366402</v>
      </c>
      <c r="BG53">
        <v>1140.058790937154</v>
      </c>
      <c r="BH53">
        <v>9951.042817403049</v>
      </c>
      <c r="BI53">
        <v>2713.884196577027</v>
      </c>
      <c r="BJ53">
        <v>2924.728668461408</v>
      </c>
      <c r="BK53">
        <v>8195.220942049062</v>
      </c>
      <c r="BL53">
        <v>2995.366632162987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701677.4195078921</v>
      </c>
      <c r="BT53">
        <v>847634.0242034344</v>
      </c>
      <c r="BU53">
        <v>24795252.56233629</v>
      </c>
      <c r="BV53">
        <v>1439199.742604186</v>
      </c>
      <c r="BW53">
        <f>SUM(B53:BV53)</f>
        <v>30047802.134657253</v>
      </c>
    </row>
    <row r="54" spans="1:75">
      <c r="A54" t="s">
        <v>51</v>
      </c>
      <c r="B54">
        <v>194265.7489174197</v>
      </c>
      <c r="C54">
        <v>213398.642540716</v>
      </c>
      <c r="D54">
        <v>40755.69725642213</v>
      </c>
      <c r="E54">
        <v>497069.8632315356</v>
      </c>
      <c r="F54">
        <v>7624283.202021794</v>
      </c>
      <c r="G54">
        <v>1631951.467019833</v>
      </c>
      <c r="H54">
        <v>210308.1947653588</v>
      </c>
      <c r="I54">
        <v>2163805.3330769</v>
      </c>
      <c r="J54">
        <v>956243.9691833922</v>
      </c>
      <c r="K54">
        <v>678407.1190581287</v>
      </c>
      <c r="L54">
        <v>1772611.694396813</v>
      </c>
      <c r="M54">
        <v>665434.3605165899</v>
      </c>
      <c r="N54">
        <v>1433071.561506597</v>
      </c>
      <c r="O54">
        <v>1064378.017771549</v>
      </c>
      <c r="P54">
        <v>449824.8526639956</v>
      </c>
      <c r="Q54">
        <v>1034848.249130764</v>
      </c>
      <c r="R54">
        <v>406856.7712162825</v>
      </c>
      <c r="S54">
        <v>2929010.581331577</v>
      </c>
      <c r="T54">
        <v>817445.8817801035</v>
      </c>
      <c r="U54">
        <v>1938825.158809786</v>
      </c>
      <c r="V54">
        <v>397990.0181653483</v>
      </c>
      <c r="W54">
        <v>1745364.985178368</v>
      </c>
      <c r="X54">
        <v>328401.5657290956</v>
      </c>
      <c r="Y54">
        <v>684068.3712670987</v>
      </c>
      <c r="Z54">
        <v>38315.29986973407</v>
      </c>
      <c r="AA54">
        <v>146869.6498077458</v>
      </c>
      <c r="AB54">
        <v>6866296.179666072</v>
      </c>
      <c r="AC54">
        <v>1873880.224478194</v>
      </c>
      <c r="AD54">
        <v>49257002.43915733</v>
      </c>
      <c r="AE54">
        <v>8748485.432407837</v>
      </c>
      <c r="AF54">
        <v>990472.2922795904</v>
      </c>
      <c r="AG54">
        <v>397584.1007947598</v>
      </c>
      <c r="AH54">
        <v>5146592.647800646</v>
      </c>
      <c r="AI54">
        <v>867396.2026786341</v>
      </c>
      <c r="AJ54">
        <v>356412.7638916827</v>
      </c>
      <c r="AK54">
        <v>5553621.263832879</v>
      </c>
      <c r="AL54">
        <v>1555225.06876536</v>
      </c>
      <c r="AM54">
        <v>5413327.699047497</v>
      </c>
      <c r="AN54">
        <v>4585154.068559263</v>
      </c>
      <c r="AO54">
        <v>7005407.959606254</v>
      </c>
      <c r="AP54">
        <v>14272444.19884726</v>
      </c>
      <c r="AQ54">
        <v>511450.9449728344</v>
      </c>
      <c r="AR54">
        <v>1274913.996747201</v>
      </c>
      <c r="AS54">
        <v>2078845.603176616</v>
      </c>
      <c r="AT54">
        <v>23373.68456755639</v>
      </c>
      <c r="AU54">
        <v>2716292.95270068</v>
      </c>
      <c r="AV54">
        <v>628508.8979834109</v>
      </c>
      <c r="AW54">
        <v>31748.81729429255</v>
      </c>
      <c r="AX54">
        <v>41287810.12413612</v>
      </c>
      <c r="AY54">
        <v>781297.8506902104</v>
      </c>
      <c r="AZ54">
        <v>2018124.812278169</v>
      </c>
      <c r="BA54">
        <v>157029.5425405941</v>
      </c>
      <c r="BB54">
        <v>1174830.778252314</v>
      </c>
      <c r="BC54">
        <v>7299841.234100804</v>
      </c>
      <c r="BD54">
        <v>2436930.49575727</v>
      </c>
      <c r="BE54">
        <v>1142421.63541107</v>
      </c>
      <c r="BF54">
        <v>2122925.229926165</v>
      </c>
      <c r="BG54">
        <v>52848.21900538514</v>
      </c>
      <c r="BH54">
        <v>3829173.274620191</v>
      </c>
      <c r="BI54">
        <v>708850.8239643638</v>
      </c>
      <c r="BJ54">
        <v>1605311.013018846</v>
      </c>
      <c r="BK54">
        <v>54833.04348614469</v>
      </c>
      <c r="BL54">
        <v>249493.5888312637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3468196.405904333</v>
      </c>
      <c r="BT54">
        <v>626226.5313975542</v>
      </c>
      <c r="BU54">
        <v>1923157.505571445</v>
      </c>
      <c r="BV54">
        <v>10182496.93295137</v>
      </c>
      <c r="BW54">
        <f>SUM(B54:BV54)</f>
        <v>231340042.7373124</v>
      </c>
    </row>
    <row r="55" spans="1:75">
      <c r="A55" t="s">
        <v>52</v>
      </c>
      <c r="B55">
        <v>7267911.478222577</v>
      </c>
      <c r="C55">
        <v>5045.838738795418</v>
      </c>
      <c r="D55">
        <v>2711.153398399981</v>
      </c>
      <c r="E55">
        <v>1467441.273629001</v>
      </c>
      <c r="F55">
        <v>1945421.48541224</v>
      </c>
      <c r="G55">
        <v>1946465.481864238</v>
      </c>
      <c r="H55">
        <v>196049.2157158598</v>
      </c>
      <c r="I55">
        <v>446278.9937715128</v>
      </c>
      <c r="J55">
        <v>289040.7162018631</v>
      </c>
      <c r="K55">
        <v>230813.5116856325</v>
      </c>
      <c r="L55">
        <v>564499.897836845</v>
      </c>
      <c r="M55">
        <v>173619.5154656016</v>
      </c>
      <c r="N55">
        <v>774138.7306273434</v>
      </c>
      <c r="O55">
        <v>818668.3766636081</v>
      </c>
      <c r="P55">
        <v>536582.6463178423</v>
      </c>
      <c r="Q55">
        <v>1033003.469255286</v>
      </c>
      <c r="R55">
        <v>235784.9077322783</v>
      </c>
      <c r="S55">
        <v>961015.5674976457</v>
      </c>
      <c r="T55">
        <v>992764.9124413374</v>
      </c>
      <c r="U55">
        <v>2085742.027844587</v>
      </c>
      <c r="V55">
        <v>2119688.984939802</v>
      </c>
      <c r="W55">
        <v>1061268.14364466</v>
      </c>
      <c r="X55">
        <v>581180.5385207115</v>
      </c>
      <c r="Y55">
        <v>1628425.611747393</v>
      </c>
      <c r="Z55">
        <v>70772.09001770201</v>
      </c>
      <c r="AA55">
        <v>153150.8051361394</v>
      </c>
      <c r="AB55">
        <v>10699920.98260918</v>
      </c>
      <c r="AC55">
        <v>802306.8000254132</v>
      </c>
      <c r="AD55">
        <v>6968905.246826268</v>
      </c>
      <c r="AE55">
        <v>2832226.468026634</v>
      </c>
      <c r="AF55">
        <v>2336952.68216996</v>
      </c>
      <c r="AG55">
        <v>865148.6937533967</v>
      </c>
      <c r="AH55">
        <v>4478552.042823823</v>
      </c>
      <c r="AI55">
        <v>828374.8554808313</v>
      </c>
      <c r="AJ55">
        <v>234592.903078101</v>
      </c>
      <c r="AK55">
        <v>3340275.688712274</v>
      </c>
      <c r="AL55">
        <v>112516.1320185907</v>
      </c>
      <c r="AM55">
        <v>1246501.639476769</v>
      </c>
      <c r="AN55">
        <v>150570.7676112131</v>
      </c>
      <c r="AO55">
        <v>906162.7981864405</v>
      </c>
      <c r="AP55">
        <v>1951131.984640925</v>
      </c>
      <c r="AQ55">
        <v>95056.61822967943</v>
      </c>
      <c r="AR55">
        <v>80255.39202120433</v>
      </c>
      <c r="AS55">
        <v>916899.8589817326</v>
      </c>
      <c r="AT55">
        <v>28129.94834131513</v>
      </c>
      <c r="AU55">
        <v>1062603.607033042</v>
      </c>
      <c r="AV55">
        <v>1977614.585783114</v>
      </c>
      <c r="AW55">
        <v>142935.1632043771</v>
      </c>
      <c r="AX55">
        <v>1396510.061690161</v>
      </c>
      <c r="AY55">
        <v>3176734.1789046</v>
      </c>
      <c r="AZ55">
        <v>329432.9220222482</v>
      </c>
      <c r="BA55">
        <v>237581.2600626692</v>
      </c>
      <c r="BB55">
        <v>388726.9720025054</v>
      </c>
      <c r="BC55">
        <v>955176.6944698639</v>
      </c>
      <c r="BD55">
        <v>720744.8749359704</v>
      </c>
      <c r="BE55">
        <v>432752.0876040976</v>
      </c>
      <c r="BF55">
        <v>1420663.949601825</v>
      </c>
      <c r="BG55">
        <v>51665.84010326685</v>
      </c>
      <c r="BH55">
        <v>227984.1284375938</v>
      </c>
      <c r="BI55">
        <v>993907.2802985196</v>
      </c>
      <c r="BJ55">
        <v>78305.49006187874</v>
      </c>
      <c r="BK55">
        <v>48442.41410621787</v>
      </c>
      <c r="BL55">
        <v>151381.7835731796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14589510.07709242</v>
      </c>
      <c r="BT55">
        <v>589199.600691282</v>
      </c>
      <c r="BU55">
        <v>2266577.444693938</v>
      </c>
      <c r="BV55">
        <v>12962685.50329602</v>
      </c>
      <c r="BW55">
        <f>SUM(B55:BV55)</f>
        <v>110663102.79701144</v>
      </c>
    </row>
    <row r="56" spans="1:75">
      <c r="A56" t="s">
        <v>53</v>
      </c>
      <c r="B56">
        <v>345119.7045758515</v>
      </c>
      <c r="C56">
        <v>49939.24615570866</v>
      </c>
      <c r="D56">
        <v>11182.55246087833</v>
      </c>
      <c r="E56">
        <v>2267863.354484611</v>
      </c>
      <c r="F56">
        <v>2805691.576589734</v>
      </c>
      <c r="G56">
        <v>1577451.540601825</v>
      </c>
      <c r="H56">
        <v>181076.0021739657</v>
      </c>
      <c r="I56">
        <v>658603.4828158098</v>
      </c>
      <c r="J56">
        <v>211085.6399288333</v>
      </c>
      <c r="K56">
        <v>315952.332489477</v>
      </c>
      <c r="L56">
        <v>857924.21841798</v>
      </c>
      <c r="M56">
        <v>412941.0927289627</v>
      </c>
      <c r="N56">
        <v>989198.0184303405</v>
      </c>
      <c r="O56">
        <v>2311200.03407201</v>
      </c>
      <c r="P56">
        <v>715166.8770419755</v>
      </c>
      <c r="Q56">
        <v>1238850.710272919</v>
      </c>
      <c r="R56">
        <v>336239.8866473842</v>
      </c>
      <c r="S56">
        <v>1020352.289264604</v>
      </c>
      <c r="T56">
        <v>1260987.322151625</v>
      </c>
      <c r="U56">
        <v>3948014.497162672</v>
      </c>
      <c r="V56">
        <v>483778.76870212</v>
      </c>
      <c r="W56">
        <v>693245.5632161931</v>
      </c>
      <c r="X56">
        <v>962269.7138971391</v>
      </c>
      <c r="Y56">
        <v>5833088.391703502</v>
      </c>
      <c r="Z56">
        <v>159711.2438947124</v>
      </c>
      <c r="AA56">
        <v>1204740.083468751</v>
      </c>
      <c r="AB56">
        <v>21128193.05278218</v>
      </c>
      <c r="AC56">
        <v>4159005.880031923</v>
      </c>
      <c r="AD56">
        <v>12818207.62928258</v>
      </c>
      <c r="AE56">
        <v>2858703.92311523</v>
      </c>
      <c r="AF56">
        <v>27652250.14612159</v>
      </c>
      <c r="AG56">
        <v>3257587.534072455</v>
      </c>
      <c r="AH56">
        <v>11378450.66731163</v>
      </c>
      <c r="AI56">
        <v>5299264.516331115</v>
      </c>
      <c r="AJ56">
        <v>1465603.155607539</v>
      </c>
      <c r="AK56">
        <v>3795426.48109848</v>
      </c>
      <c r="AL56">
        <v>133099.1731107349</v>
      </c>
      <c r="AM56">
        <v>951114.8111913427</v>
      </c>
      <c r="AN56">
        <v>396839.4227848263</v>
      </c>
      <c r="AO56">
        <v>1305308.090969741</v>
      </c>
      <c r="AP56">
        <v>23864453.6280705</v>
      </c>
      <c r="AQ56">
        <v>12357085.36651305</v>
      </c>
      <c r="AR56">
        <v>6805521.760286405</v>
      </c>
      <c r="AS56">
        <v>2292089.621502599</v>
      </c>
      <c r="AT56">
        <v>39996.14513994184</v>
      </c>
      <c r="AU56">
        <v>1569765.358444466</v>
      </c>
      <c r="AV56">
        <v>2257629.160211327</v>
      </c>
      <c r="AW56">
        <v>155852.6550250835</v>
      </c>
      <c r="AX56">
        <v>1211491.492273299</v>
      </c>
      <c r="AY56">
        <v>368326.2058267853</v>
      </c>
      <c r="AZ56">
        <v>9789873.03093248</v>
      </c>
      <c r="BA56">
        <v>613250.5096064275</v>
      </c>
      <c r="BB56">
        <v>1347830.8387588</v>
      </c>
      <c r="BC56">
        <v>2109268.865469376</v>
      </c>
      <c r="BD56">
        <v>15363925.81154992</v>
      </c>
      <c r="BE56">
        <v>3342547.741441823</v>
      </c>
      <c r="BF56">
        <v>2559748.307907011</v>
      </c>
      <c r="BG56">
        <v>72344.38825136849</v>
      </c>
      <c r="BH56">
        <v>982741.3891716291</v>
      </c>
      <c r="BI56">
        <v>378305.8189744096</v>
      </c>
      <c r="BJ56">
        <v>58451.70800475394</v>
      </c>
      <c r="BK56">
        <v>113061.7051485988</v>
      </c>
      <c r="BL56">
        <v>518213.0926327588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20370048.89941889</v>
      </c>
      <c r="BT56">
        <v>279567.7635056786</v>
      </c>
      <c r="BU56">
        <v>2863655.651667993</v>
      </c>
      <c r="BV56">
        <v>8252961.573424828</v>
      </c>
      <c r="BW56">
        <f>SUM(B56:BV56)</f>
        <v>247388737.11632115</v>
      </c>
    </row>
    <row r="57" spans="1:75">
      <c r="A57" t="s">
        <v>54</v>
      </c>
      <c r="B57">
        <v>27564.47334402528</v>
      </c>
      <c r="C57">
        <v>1702.590549092685</v>
      </c>
      <c r="D57">
        <v>2474.500243401799</v>
      </c>
      <c r="E57">
        <v>1585751.709139215</v>
      </c>
      <c r="F57">
        <v>2479510.181718966</v>
      </c>
      <c r="G57">
        <v>711993.8539664672</v>
      </c>
      <c r="H57">
        <v>50377.06555572877</v>
      </c>
      <c r="I57">
        <v>378004.4062575735</v>
      </c>
      <c r="J57">
        <v>23649.30434953781</v>
      </c>
      <c r="K57">
        <v>314420.3455951357</v>
      </c>
      <c r="L57">
        <v>526786.5483832145</v>
      </c>
      <c r="M57">
        <v>218079.1388546297</v>
      </c>
      <c r="N57">
        <v>793934.4891854214</v>
      </c>
      <c r="O57">
        <v>2749444.047815943</v>
      </c>
      <c r="P57">
        <v>449598.0272697603</v>
      </c>
      <c r="Q57">
        <v>794202.6841432517</v>
      </c>
      <c r="R57">
        <v>131426.58558247</v>
      </c>
      <c r="S57">
        <v>584002.6226858689</v>
      </c>
      <c r="T57">
        <v>561680.0722208901</v>
      </c>
      <c r="U57">
        <v>1335755.832809812</v>
      </c>
      <c r="V57">
        <v>210969.3479116359</v>
      </c>
      <c r="W57">
        <v>216082.5024679135</v>
      </c>
      <c r="X57">
        <v>139122.4829271427</v>
      </c>
      <c r="Y57">
        <v>3994854.55313145</v>
      </c>
      <c r="Z57">
        <v>3157.922930292255</v>
      </c>
      <c r="AA57">
        <v>1279608.600727499</v>
      </c>
      <c r="AB57">
        <v>9067929.389413306</v>
      </c>
      <c r="AC57">
        <v>554311.1701907943</v>
      </c>
      <c r="AD57">
        <v>1876481.450978118</v>
      </c>
      <c r="AE57">
        <v>2325853.249570072</v>
      </c>
      <c r="AF57">
        <v>11788219.06479672</v>
      </c>
      <c r="AG57">
        <v>313319.9484045171</v>
      </c>
      <c r="AH57">
        <v>658024.3828166981</v>
      </c>
      <c r="AI57">
        <v>2706086.817946521</v>
      </c>
      <c r="AJ57">
        <v>2071489.090101439</v>
      </c>
      <c r="AK57">
        <v>8244785.071054204</v>
      </c>
      <c r="AL57">
        <v>38999.72215627103</v>
      </c>
      <c r="AM57">
        <v>424662.2020489494</v>
      </c>
      <c r="AN57">
        <v>299048.9097740988</v>
      </c>
      <c r="AO57">
        <v>424308.3360032674</v>
      </c>
      <c r="AP57">
        <v>372722.3468853598</v>
      </c>
      <c r="AQ57">
        <v>11848.92737430769</v>
      </c>
      <c r="AR57">
        <v>71714.16449658963</v>
      </c>
      <c r="AS57">
        <v>1511820.605254505</v>
      </c>
      <c r="AT57">
        <v>28445.77169879182</v>
      </c>
      <c r="AU57">
        <v>1412853.279065712</v>
      </c>
      <c r="AV57">
        <v>332174.1346380721</v>
      </c>
      <c r="AW57">
        <v>35404.72662517134</v>
      </c>
      <c r="AX57">
        <v>667341.6510411998</v>
      </c>
      <c r="AY57">
        <v>94381.14752919083</v>
      </c>
      <c r="AZ57">
        <v>398301.6825133869</v>
      </c>
      <c r="BA57">
        <v>1486631.88606355</v>
      </c>
      <c r="BB57">
        <v>684010.3091384887</v>
      </c>
      <c r="BC57">
        <v>3085671.611317496</v>
      </c>
      <c r="BD57">
        <v>542716.4093840816</v>
      </c>
      <c r="BE57">
        <v>834664.9751207945</v>
      </c>
      <c r="BF57">
        <v>4426222.195071031</v>
      </c>
      <c r="BG57">
        <v>855524.9862147687</v>
      </c>
      <c r="BH57">
        <v>96845.16287495912</v>
      </c>
      <c r="BI57">
        <v>1342725.70026371</v>
      </c>
      <c r="BJ57">
        <v>263314.5552926514</v>
      </c>
      <c r="BK57">
        <v>8777.049831411327</v>
      </c>
      <c r="BL57">
        <v>792318.7264518266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950802.2439869446</v>
      </c>
      <c r="BT57">
        <v>169926002.4136885</v>
      </c>
      <c r="BU57">
        <v>379697.9577105994</v>
      </c>
      <c r="BV57">
        <v>2527877.96973076</v>
      </c>
      <c r="BW57">
        <f>SUM(B57:BV57)</f>
        <v>253498485.2842852</v>
      </c>
    </row>
    <row r="58" spans="1:75">
      <c r="A58" t="s">
        <v>55</v>
      </c>
      <c r="B58">
        <v>23306.07850092652</v>
      </c>
      <c r="C58">
        <v>1728.459899449333</v>
      </c>
      <c r="D58">
        <v>1380.172460682443</v>
      </c>
      <c r="E58">
        <v>815580.3535276719</v>
      </c>
      <c r="F58">
        <v>1172595.64188732</v>
      </c>
      <c r="G58">
        <v>2186157.626777351</v>
      </c>
      <c r="H58">
        <v>145501.439567165</v>
      </c>
      <c r="I58">
        <v>319300.6925063378</v>
      </c>
      <c r="J58">
        <v>154300.9107953733</v>
      </c>
      <c r="K58">
        <v>72754.01944605788</v>
      </c>
      <c r="L58">
        <v>450821.3022922729</v>
      </c>
      <c r="M58">
        <v>475991.0243313087</v>
      </c>
      <c r="N58">
        <v>698205.9265593009</v>
      </c>
      <c r="O58">
        <v>1996203.643515981</v>
      </c>
      <c r="P58">
        <v>658286.5912428549</v>
      </c>
      <c r="Q58">
        <v>1180395.353734783</v>
      </c>
      <c r="R58">
        <v>383401.3982180774</v>
      </c>
      <c r="S58">
        <v>722118.4732478416</v>
      </c>
      <c r="T58">
        <v>1421192.840110459</v>
      </c>
      <c r="U58">
        <v>1742556.165185998</v>
      </c>
      <c r="V58">
        <v>758136.7789238357</v>
      </c>
      <c r="W58">
        <v>1052169.67599762</v>
      </c>
      <c r="X58">
        <v>1250199.871173186</v>
      </c>
      <c r="Y58">
        <v>582958.4099596633</v>
      </c>
      <c r="Z58">
        <v>96562.02197589741</v>
      </c>
      <c r="AA58">
        <v>543035.2815191969</v>
      </c>
      <c r="AB58">
        <v>10012766.56835387</v>
      </c>
      <c r="AC58">
        <v>1308140.037645448</v>
      </c>
      <c r="AD58">
        <v>394780.0854676625</v>
      </c>
      <c r="AE58">
        <v>4636695.899862552</v>
      </c>
      <c r="AF58">
        <v>7889351.459736275</v>
      </c>
      <c r="AG58">
        <v>1839636.379961949</v>
      </c>
      <c r="AH58">
        <v>3972629.425269713</v>
      </c>
      <c r="AI58">
        <v>2696656.72231309</v>
      </c>
      <c r="AJ58">
        <v>710515.6324890812</v>
      </c>
      <c r="AK58">
        <v>32874538.55164633</v>
      </c>
      <c r="AL58">
        <v>173603.1584312092</v>
      </c>
      <c r="AM58">
        <v>627510.8978554179</v>
      </c>
      <c r="AN58">
        <v>519389.5765145546</v>
      </c>
      <c r="AO58">
        <v>1197470.355098721</v>
      </c>
      <c r="AP58">
        <v>83020.00922349887</v>
      </c>
      <c r="AQ58">
        <v>17890.75878396715</v>
      </c>
      <c r="AR58">
        <v>9809.043909545937</v>
      </c>
      <c r="AS58">
        <v>2113924.544394093</v>
      </c>
      <c r="AT58">
        <v>10731.98741279205</v>
      </c>
      <c r="AU58">
        <v>2535324.418345663</v>
      </c>
      <c r="AV58">
        <v>1114916.788331067</v>
      </c>
      <c r="AW58">
        <v>52989.9443852284</v>
      </c>
      <c r="AX58">
        <v>1344641.393059</v>
      </c>
      <c r="AY58">
        <v>553910.912721601</v>
      </c>
      <c r="AZ58">
        <v>919803.8777288082</v>
      </c>
      <c r="BA58">
        <v>58476.34686637771</v>
      </c>
      <c r="BB58">
        <v>60315772.48005936</v>
      </c>
      <c r="BC58">
        <v>2253030.017021176</v>
      </c>
      <c r="BD58">
        <v>491836.6286191203</v>
      </c>
      <c r="BE58">
        <v>340573.8115389927</v>
      </c>
      <c r="BF58">
        <v>92637.41557429364</v>
      </c>
      <c r="BG58">
        <v>136781.1586617199</v>
      </c>
      <c r="BH58">
        <v>659693.0188566498</v>
      </c>
      <c r="BI58">
        <v>1804969.17349406</v>
      </c>
      <c r="BJ58">
        <v>127062.2068326959</v>
      </c>
      <c r="BK58">
        <v>85350.78757508899</v>
      </c>
      <c r="BL58">
        <v>516139.246559695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212127607.8784308</v>
      </c>
      <c r="BT58">
        <v>77979.48629767564</v>
      </c>
      <c r="BU58">
        <v>719337.1766352599</v>
      </c>
      <c r="BV58">
        <v>12318731.04785352</v>
      </c>
      <c r="BW58">
        <f>SUM(B58:BV58)</f>
        <v>388641466.4631742</v>
      </c>
    </row>
    <row r="59" spans="1:75">
      <c r="A59" t="s">
        <v>56</v>
      </c>
      <c r="B59">
        <v>2310224.897624268</v>
      </c>
      <c r="C59">
        <v>120597.572220254</v>
      </c>
      <c r="D59">
        <v>22073.45712638196</v>
      </c>
      <c r="E59">
        <v>2436572.592189577</v>
      </c>
      <c r="F59">
        <v>6932278.535099557</v>
      </c>
      <c r="G59">
        <v>6129104.700319613</v>
      </c>
      <c r="H59">
        <v>630532.8917594129</v>
      </c>
      <c r="I59">
        <v>2161440.050716184</v>
      </c>
      <c r="J59">
        <v>715629.1582136987</v>
      </c>
      <c r="K59">
        <v>507160.6287946382</v>
      </c>
      <c r="L59">
        <v>2496718.150708743</v>
      </c>
      <c r="M59">
        <v>1532553.410407006</v>
      </c>
      <c r="N59">
        <v>3658900.167090943</v>
      </c>
      <c r="O59">
        <v>6395977.088016421</v>
      </c>
      <c r="P59">
        <v>3203283.875789248</v>
      </c>
      <c r="Q59">
        <v>3546063.607860499</v>
      </c>
      <c r="R59">
        <v>1808756.550081253</v>
      </c>
      <c r="S59">
        <v>2164770.794999982</v>
      </c>
      <c r="T59">
        <v>3697575.534762022</v>
      </c>
      <c r="U59">
        <v>5417346.730046176</v>
      </c>
      <c r="V59">
        <v>2420073.29285101</v>
      </c>
      <c r="W59">
        <v>2274507.525757635</v>
      </c>
      <c r="X59">
        <v>2104241.934567204</v>
      </c>
      <c r="Y59">
        <v>14058851.03652237</v>
      </c>
      <c r="Z59">
        <v>115611.9275672409</v>
      </c>
      <c r="AA59">
        <v>10919979.75284767</v>
      </c>
      <c r="AB59">
        <v>37938508.58752222</v>
      </c>
      <c r="AC59">
        <v>2712426.683912427</v>
      </c>
      <c r="AD59">
        <v>37803523.21109273</v>
      </c>
      <c r="AE59">
        <v>31145083.1375066</v>
      </c>
      <c r="AF59">
        <v>13874804.10479859</v>
      </c>
      <c r="AG59">
        <v>3248878.591260628</v>
      </c>
      <c r="AH59">
        <v>7421681.502039782</v>
      </c>
      <c r="AI59">
        <v>14037923.35950696</v>
      </c>
      <c r="AJ59">
        <v>6363307.18550205</v>
      </c>
      <c r="AK59">
        <v>12111449.69595305</v>
      </c>
      <c r="AL59">
        <v>792684.8764888103</v>
      </c>
      <c r="AM59">
        <v>2180669.209623935</v>
      </c>
      <c r="AN59">
        <v>9948711.89069012</v>
      </c>
      <c r="AO59">
        <v>3146723.208813175</v>
      </c>
      <c r="AP59">
        <v>13356061.89672681</v>
      </c>
      <c r="AQ59">
        <v>860708.7550763546</v>
      </c>
      <c r="AR59">
        <v>2427284.93428885</v>
      </c>
      <c r="AS59">
        <v>17386756.14514192</v>
      </c>
      <c r="AT59">
        <v>4829041.504122246</v>
      </c>
      <c r="AU59">
        <v>6796579.679318464</v>
      </c>
      <c r="AV59">
        <v>2800554.842708316</v>
      </c>
      <c r="AW59">
        <v>108742.9285206111</v>
      </c>
      <c r="AX59">
        <v>4784446.312201586</v>
      </c>
      <c r="AY59">
        <v>1655658.986411476</v>
      </c>
      <c r="AZ59">
        <v>2809475.67874301</v>
      </c>
      <c r="BA59">
        <v>959174.4582662315</v>
      </c>
      <c r="BB59">
        <v>4773968.389029532</v>
      </c>
      <c r="BC59">
        <v>29339055.20447888</v>
      </c>
      <c r="BD59">
        <v>43319209.89207038</v>
      </c>
      <c r="BE59">
        <v>9470848.018224662</v>
      </c>
      <c r="BF59">
        <v>26449823.74341688</v>
      </c>
      <c r="BG59">
        <v>403537.479753826</v>
      </c>
      <c r="BH59">
        <v>4246311.625185221</v>
      </c>
      <c r="BI59">
        <v>4194828.987159527</v>
      </c>
      <c r="BJ59">
        <v>6176396.961352966</v>
      </c>
      <c r="BK59">
        <v>349155.5150726962</v>
      </c>
      <c r="BL59">
        <v>887995.770782129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25144916.10633267</v>
      </c>
      <c r="BT59">
        <v>7566678.63686476</v>
      </c>
      <c r="BU59">
        <v>10305157.15512645</v>
      </c>
      <c r="BV59">
        <v>13542258.4998239</v>
      </c>
      <c r="BW59">
        <f>SUM(B59:BV59)</f>
        <v>515451829.21485054</v>
      </c>
    </row>
    <row r="60" spans="1:75">
      <c r="A60" t="s">
        <v>57</v>
      </c>
      <c r="B60">
        <v>2888798.555510191</v>
      </c>
      <c r="C60">
        <v>201860.7312928548</v>
      </c>
      <c r="D60">
        <v>25472.77259225615</v>
      </c>
      <c r="E60">
        <v>2113989.431989917</v>
      </c>
      <c r="F60">
        <v>7378738.527490424</v>
      </c>
      <c r="G60">
        <v>3533948.65440301</v>
      </c>
      <c r="H60">
        <v>376013.9775394538</v>
      </c>
      <c r="I60">
        <v>1223945.354815866</v>
      </c>
      <c r="J60">
        <v>904511.1631236395</v>
      </c>
      <c r="K60">
        <v>473230.7560687279</v>
      </c>
      <c r="L60">
        <v>1520711.37393215</v>
      </c>
      <c r="M60">
        <v>390264.5497156564</v>
      </c>
      <c r="N60">
        <v>2088382.435576766</v>
      </c>
      <c r="O60">
        <v>3020718.457278561</v>
      </c>
      <c r="P60">
        <v>3074476.957393494</v>
      </c>
      <c r="Q60">
        <v>7694654.186342297</v>
      </c>
      <c r="R60">
        <v>835476.4525042532</v>
      </c>
      <c r="S60">
        <v>1586623.16385989</v>
      </c>
      <c r="T60">
        <v>1958469.35888255</v>
      </c>
      <c r="U60">
        <v>3750282.64695623</v>
      </c>
      <c r="V60">
        <v>3777772.481077495</v>
      </c>
      <c r="W60">
        <v>2338685.449242265</v>
      </c>
      <c r="X60">
        <v>904823.9057446497</v>
      </c>
      <c r="Y60">
        <v>13758938.50628578</v>
      </c>
      <c r="Z60">
        <v>2685012.24929481</v>
      </c>
      <c r="AA60">
        <v>1077868.095218772</v>
      </c>
      <c r="AB60">
        <v>45606174.04593152</v>
      </c>
      <c r="AC60">
        <v>2655144.831806496</v>
      </c>
      <c r="AD60">
        <v>40426746.68084736</v>
      </c>
      <c r="AE60">
        <v>47899042.91214611</v>
      </c>
      <c r="AF60">
        <v>10378652.71133286</v>
      </c>
      <c r="AG60">
        <v>964072.5693916639</v>
      </c>
      <c r="AH60">
        <v>3764074.817012241</v>
      </c>
      <c r="AI60">
        <v>4395206.154589602</v>
      </c>
      <c r="AJ60">
        <v>2699514.652187995</v>
      </c>
      <c r="AK60">
        <v>5954884.198651926</v>
      </c>
      <c r="AL60">
        <v>2030479.179889882</v>
      </c>
      <c r="AM60">
        <v>1273953.427027282</v>
      </c>
      <c r="AN60">
        <v>14318124.64469085</v>
      </c>
      <c r="AO60">
        <v>6509935.265452441</v>
      </c>
      <c r="AP60">
        <v>3368286.685838372</v>
      </c>
      <c r="AQ60">
        <v>679107.2392116592</v>
      </c>
      <c r="AR60">
        <v>13354792.87506645</v>
      </c>
      <c r="AS60">
        <v>3504560.384902209</v>
      </c>
      <c r="AT60">
        <v>167697.4932209146</v>
      </c>
      <c r="AU60">
        <v>3281409.139062563</v>
      </c>
      <c r="AV60">
        <v>6042342.545229049</v>
      </c>
      <c r="AW60">
        <v>126808.1459067021</v>
      </c>
      <c r="AX60">
        <v>3844575.210857116</v>
      </c>
      <c r="AY60">
        <v>1924437.95174571</v>
      </c>
      <c r="AZ60">
        <v>1148502.997389862</v>
      </c>
      <c r="BA60">
        <v>99484.6219557555</v>
      </c>
      <c r="BB60">
        <v>2628908.118045071</v>
      </c>
      <c r="BC60">
        <v>3517365.282430751</v>
      </c>
      <c r="BD60">
        <v>19937406.14163165</v>
      </c>
      <c r="BE60">
        <v>4688591.828907765</v>
      </c>
      <c r="BF60">
        <v>12512977.87336324</v>
      </c>
      <c r="BG60">
        <v>146219.6776643962</v>
      </c>
      <c r="BH60">
        <v>901700.1475919492</v>
      </c>
      <c r="BI60">
        <v>6026546.826811723</v>
      </c>
      <c r="BJ60">
        <v>2770997.738390579</v>
      </c>
      <c r="BK60">
        <v>303664.6108862775</v>
      </c>
      <c r="BL60">
        <v>174205.3876162756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193051697.1909403</v>
      </c>
      <c r="BT60">
        <v>1213293832.988986</v>
      </c>
      <c r="BU60">
        <v>23191575.64046457</v>
      </c>
      <c r="BV60">
        <v>20546385.21482056</v>
      </c>
      <c r="BW60">
        <f>SUM(B60:BV60)</f>
        <v>1799693756.2440276</v>
      </c>
    </row>
    <row r="61" spans="1:75">
      <c r="A61" t="s">
        <v>58</v>
      </c>
      <c r="B61">
        <v>28965.35814604516</v>
      </c>
      <c r="C61">
        <v>5005.085312280502</v>
      </c>
      <c r="D61">
        <v>614.3527790840818</v>
      </c>
      <c r="E61">
        <v>99754.70866656963</v>
      </c>
      <c r="F61">
        <v>217907.3278666639</v>
      </c>
      <c r="G61">
        <v>237666.6760335235</v>
      </c>
      <c r="H61">
        <v>30866.78242543905</v>
      </c>
      <c r="I61">
        <v>45177.36265019639</v>
      </c>
      <c r="J61">
        <v>65295.27383614357</v>
      </c>
      <c r="K61">
        <v>28057.53522057643</v>
      </c>
      <c r="L61">
        <v>100244.8059787503</v>
      </c>
      <c r="M61">
        <v>49444.20612842021</v>
      </c>
      <c r="N61">
        <v>105190.2228304975</v>
      </c>
      <c r="O61">
        <v>149931.2153820041</v>
      </c>
      <c r="P61">
        <v>68374.70723469622</v>
      </c>
      <c r="Q61">
        <v>196304.97422219</v>
      </c>
      <c r="R61">
        <v>149534.4859300723</v>
      </c>
      <c r="S61">
        <v>187292.366584149</v>
      </c>
      <c r="T61">
        <v>197915.7545960894</v>
      </c>
      <c r="U61">
        <v>329862.0189567661</v>
      </c>
      <c r="V61">
        <v>311155.7019383461</v>
      </c>
      <c r="W61">
        <v>133180.3081046753</v>
      </c>
      <c r="X61">
        <v>125881.988488102</v>
      </c>
      <c r="Y61">
        <v>246368.3555519087</v>
      </c>
      <c r="Z61">
        <v>14067.8766689987</v>
      </c>
      <c r="AA61">
        <v>24785.93196346391</v>
      </c>
      <c r="AB61">
        <v>1186187.752082029</v>
      </c>
      <c r="AC61">
        <v>181215.7607852202</v>
      </c>
      <c r="AD61">
        <v>1516469.906041954</v>
      </c>
      <c r="AE61">
        <v>875711.2670156048</v>
      </c>
      <c r="AF61">
        <v>544180.8760616867</v>
      </c>
      <c r="AG61">
        <v>59580.47742454454</v>
      </c>
      <c r="AH61">
        <v>774584.2105350855</v>
      </c>
      <c r="AI61">
        <v>184265.5375233832</v>
      </c>
      <c r="AJ61">
        <v>368126.7386068009</v>
      </c>
      <c r="AK61">
        <v>525986.2864400127</v>
      </c>
      <c r="AL61">
        <v>206034.8732279102</v>
      </c>
      <c r="AM61">
        <v>74553.6057622348</v>
      </c>
      <c r="AN61">
        <v>100260.7651857096</v>
      </c>
      <c r="AO61">
        <v>462348.555677217</v>
      </c>
      <c r="AP61">
        <v>1351064.686746747</v>
      </c>
      <c r="AQ61">
        <v>20860.32440352117</v>
      </c>
      <c r="AR61">
        <v>675106.1698365606</v>
      </c>
      <c r="AS61">
        <v>237550.2260921635</v>
      </c>
      <c r="AT61">
        <v>5574.046121499009</v>
      </c>
      <c r="AU61">
        <v>404984.2274828439</v>
      </c>
      <c r="AV61">
        <v>213413.140919032</v>
      </c>
      <c r="AW61">
        <v>139725.6885046491</v>
      </c>
      <c r="AX61">
        <v>253227.4697595637</v>
      </c>
      <c r="AY61">
        <v>93110.97103974238</v>
      </c>
      <c r="AZ61">
        <v>56237.16828966778</v>
      </c>
      <c r="BA61">
        <v>22077.43838920349</v>
      </c>
      <c r="BB61">
        <v>135875.583472254</v>
      </c>
      <c r="BC61">
        <v>206408.0203657793</v>
      </c>
      <c r="BD61">
        <v>22686324.03095657</v>
      </c>
      <c r="BE61">
        <v>9060907.871071624</v>
      </c>
      <c r="BF61">
        <v>719634.9496387471</v>
      </c>
      <c r="BG61">
        <v>48361.14250246069</v>
      </c>
      <c r="BH61">
        <v>51579.50103930966</v>
      </c>
      <c r="BI61">
        <v>689745.8405644053</v>
      </c>
      <c r="BJ61">
        <v>82811.10384972655</v>
      </c>
      <c r="BK61">
        <v>17575.26615097069</v>
      </c>
      <c r="BL61">
        <v>37470.98086871387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188546096.3187557</v>
      </c>
      <c r="BT61">
        <v>686852720.7168626</v>
      </c>
      <c r="BU61">
        <v>87386020.50887434</v>
      </c>
      <c r="BV61">
        <v>4474951.195742156</v>
      </c>
      <c r="BW61">
        <f>SUM(B61:BV61)</f>
        <v>1014677766.5841655</v>
      </c>
    </row>
    <row r="62" spans="1:75">
      <c r="A62" t="s">
        <v>59</v>
      </c>
      <c r="B62">
        <v>93825.75398605663</v>
      </c>
      <c r="C62">
        <v>816.3469649716053</v>
      </c>
      <c r="D62">
        <v>1009.501615802164</v>
      </c>
      <c r="E62">
        <v>620913.159844022</v>
      </c>
      <c r="F62">
        <v>317033.7032024196</v>
      </c>
      <c r="G62">
        <v>399412.6149902357</v>
      </c>
      <c r="H62">
        <v>39781.2053292129</v>
      </c>
      <c r="I62">
        <v>58046.34492842703</v>
      </c>
      <c r="J62">
        <v>61632.44559518713</v>
      </c>
      <c r="K62">
        <v>23830.70962560731</v>
      </c>
      <c r="L62">
        <v>71862.80573301572</v>
      </c>
      <c r="M62">
        <v>112055.0769063196</v>
      </c>
      <c r="N62">
        <v>166604.9640296661</v>
      </c>
      <c r="O62">
        <v>174910.0549594934</v>
      </c>
      <c r="P62">
        <v>105876.9968979996</v>
      </c>
      <c r="Q62">
        <v>265809.0004026277</v>
      </c>
      <c r="R62">
        <v>43439.81781557456</v>
      </c>
      <c r="S62">
        <v>138706.5663640197</v>
      </c>
      <c r="T62">
        <v>218188.9042585002</v>
      </c>
      <c r="U62">
        <v>299552.0346901341</v>
      </c>
      <c r="V62">
        <v>146151.891195601</v>
      </c>
      <c r="W62">
        <v>338990.6970389121</v>
      </c>
      <c r="X62">
        <v>305181.5529984927</v>
      </c>
      <c r="Y62">
        <v>333944.5125588477</v>
      </c>
      <c r="Z62">
        <v>22453.46338408798</v>
      </c>
      <c r="AA62">
        <v>34545.05021648691</v>
      </c>
      <c r="AB62">
        <v>2112465.907974561</v>
      </c>
      <c r="AC62">
        <v>445291.5843913783</v>
      </c>
      <c r="AD62">
        <v>261966.877484684</v>
      </c>
      <c r="AE62">
        <v>1061939.938320137</v>
      </c>
      <c r="AF62">
        <v>889102.7665998425</v>
      </c>
      <c r="AG62">
        <v>95458.08289877862</v>
      </c>
      <c r="AH62">
        <v>250113.0700426588</v>
      </c>
      <c r="AI62">
        <v>243220.2386109112</v>
      </c>
      <c r="AJ62">
        <v>468604.0619511363</v>
      </c>
      <c r="AK62">
        <v>775301.4343274686</v>
      </c>
      <c r="AL62">
        <v>40257.71475593546</v>
      </c>
      <c r="AM62">
        <v>92093.3800764622</v>
      </c>
      <c r="AN62">
        <v>59379.54849127951</v>
      </c>
      <c r="AO62">
        <v>358242.9044293965</v>
      </c>
      <c r="AP62">
        <v>219221.5148439932</v>
      </c>
      <c r="AQ62">
        <v>70001.79522308623</v>
      </c>
      <c r="AR62">
        <v>34610.46613633008</v>
      </c>
      <c r="AS62">
        <v>713740.9909993551</v>
      </c>
      <c r="AT62">
        <v>2819.077016518936</v>
      </c>
      <c r="AU62">
        <v>774163.2142486259</v>
      </c>
      <c r="AV62">
        <v>480686.1577743718</v>
      </c>
      <c r="AW62">
        <v>22058.61168306181</v>
      </c>
      <c r="AX62">
        <v>296920.5240078435</v>
      </c>
      <c r="AY62">
        <v>476933.1191371561</v>
      </c>
      <c r="AZ62">
        <v>157227.2861888162</v>
      </c>
      <c r="BA62">
        <v>31707.72720847213</v>
      </c>
      <c r="BB62">
        <v>1136600.628865022</v>
      </c>
      <c r="BC62">
        <v>337315.8874089325</v>
      </c>
      <c r="BD62">
        <v>167210.6952212333</v>
      </c>
      <c r="BE62">
        <v>268749.6881071599</v>
      </c>
      <c r="BF62">
        <v>19771246.73118689</v>
      </c>
      <c r="BG62">
        <v>82373.87756075097</v>
      </c>
      <c r="BH62">
        <v>134894.5072071167</v>
      </c>
      <c r="BI62">
        <v>104820.9363439339</v>
      </c>
      <c r="BJ62">
        <v>3217137.585387921</v>
      </c>
      <c r="BK62">
        <v>35023.48145941507</v>
      </c>
      <c r="BL62">
        <v>215224.1801582137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149465548.6256339</v>
      </c>
      <c r="BT62">
        <v>870974159.6874897</v>
      </c>
      <c r="BU62">
        <v>2126221.359000574</v>
      </c>
      <c r="BV62">
        <v>7671737.336078735</v>
      </c>
      <c r="BW62">
        <f>SUM(B62:BV62)</f>
        <v>1070536368.3774636</v>
      </c>
    </row>
    <row r="63" spans="1:75">
      <c r="A63" t="s">
        <v>60</v>
      </c>
      <c r="B63">
        <v>7798.903537140801</v>
      </c>
      <c r="C63">
        <v>190.978743762897</v>
      </c>
      <c r="D63">
        <v>140.3089979363859</v>
      </c>
      <c r="E63">
        <v>29433.20011558504</v>
      </c>
      <c r="F63">
        <v>96738.48259490546</v>
      </c>
      <c r="G63">
        <v>133416.046980097</v>
      </c>
      <c r="H63">
        <v>6769.114759263348</v>
      </c>
      <c r="I63">
        <v>23798.35868145387</v>
      </c>
      <c r="J63">
        <v>3102.145604388875</v>
      </c>
      <c r="K63">
        <v>14130.93679772929</v>
      </c>
      <c r="L63">
        <v>19555.08023672848</v>
      </c>
      <c r="M63">
        <v>7074.414422059878</v>
      </c>
      <c r="N63">
        <v>22057.05203106217</v>
      </c>
      <c r="O63">
        <v>28751.80636815598</v>
      </c>
      <c r="P63">
        <v>24791.52865152826</v>
      </c>
      <c r="Q63">
        <v>83895.21465556079</v>
      </c>
      <c r="R63">
        <v>14439.84011391519</v>
      </c>
      <c r="S63">
        <v>30311.65369526016</v>
      </c>
      <c r="T63">
        <v>35792.68925689179</v>
      </c>
      <c r="U63">
        <v>63311.53721494227</v>
      </c>
      <c r="V63">
        <v>18152.01094572986</v>
      </c>
      <c r="W63">
        <v>62484.51947709587</v>
      </c>
      <c r="X63">
        <v>25531.19278989319</v>
      </c>
      <c r="Y63">
        <v>62737.6614731701</v>
      </c>
      <c r="Z63">
        <v>930.0934957535469</v>
      </c>
      <c r="AA63">
        <v>13099.71726909183</v>
      </c>
      <c r="AB63">
        <v>518906.5159990643</v>
      </c>
      <c r="AC63">
        <v>252587.6528997108</v>
      </c>
      <c r="AD63">
        <v>47767.51132325336</v>
      </c>
      <c r="AE63">
        <v>253035.2721539629</v>
      </c>
      <c r="AF63">
        <v>339928.6980643687</v>
      </c>
      <c r="AG63">
        <v>55651.93667463354</v>
      </c>
      <c r="AH63">
        <v>40261.88220458254</v>
      </c>
      <c r="AI63">
        <v>63636.10893217352</v>
      </c>
      <c r="AJ63">
        <v>83158.0779412593</v>
      </c>
      <c r="AK63">
        <v>247708.9061874446</v>
      </c>
      <c r="AL63">
        <v>13662.1310294779</v>
      </c>
      <c r="AM63">
        <v>27139.55751674365</v>
      </c>
      <c r="AN63">
        <v>18772.20093965638</v>
      </c>
      <c r="AO63">
        <v>56351.67432031162</v>
      </c>
      <c r="AP63">
        <v>39129.54852109365</v>
      </c>
      <c r="AQ63">
        <v>15235.87078557917</v>
      </c>
      <c r="AR63">
        <v>9825.130787058855</v>
      </c>
      <c r="AS63">
        <v>102984.6169476442</v>
      </c>
      <c r="AT63">
        <v>1939.060367139546</v>
      </c>
      <c r="AU63">
        <v>117304.7337146649</v>
      </c>
      <c r="AV63">
        <v>47924.16517854179</v>
      </c>
      <c r="AW63">
        <v>2530.407035026454</v>
      </c>
      <c r="AX63">
        <v>42467.38543201053</v>
      </c>
      <c r="AY63">
        <v>48655.17337652286</v>
      </c>
      <c r="AZ63">
        <v>48028.11395116286</v>
      </c>
      <c r="BA63">
        <v>9304.754534489</v>
      </c>
      <c r="BB63">
        <v>129191.1158826442</v>
      </c>
      <c r="BC63">
        <v>86973.734710153</v>
      </c>
      <c r="BD63">
        <v>44776.26622310876</v>
      </c>
      <c r="BE63">
        <v>78909.36438228442</v>
      </c>
      <c r="BF63">
        <v>49346.81210070995</v>
      </c>
      <c r="BG63">
        <v>619376.6539881009</v>
      </c>
      <c r="BH63">
        <v>6643.420787322249</v>
      </c>
      <c r="BI63">
        <v>8868.165531142164</v>
      </c>
      <c r="BJ63">
        <v>3788.633057632609</v>
      </c>
      <c r="BK63">
        <v>2855.400504113523</v>
      </c>
      <c r="BL63">
        <v>49053.57949925222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44296764.73141345</v>
      </c>
      <c r="BT63">
        <v>23162353.75433448</v>
      </c>
      <c r="BU63">
        <v>211640.3035080182</v>
      </c>
      <c r="BV63">
        <v>117352.4634637836</v>
      </c>
      <c r="BW63">
        <f>SUM(B63:BV63)</f>
        <v>72200225.97511287</v>
      </c>
    </row>
    <row r="64" spans="1:75">
      <c r="A64" t="s">
        <v>61</v>
      </c>
      <c r="B64">
        <v>10561.25281864549</v>
      </c>
      <c r="C64">
        <v>1358.116528089452</v>
      </c>
      <c r="D64">
        <v>253.6651222619393</v>
      </c>
      <c r="E64">
        <v>25661.73981750456</v>
      </c>
      <c r="F64">
        <v>121887.810968351</v>
      </c>
      <c r="G64">
        <v>98515.4916170357</v>
      </c>
      <c r="H64">
        <v>9941.7354717936</v>
      </c>
      <c r="I64">
        <v>20617.22964308714</v>
      </c>
      <c r="J64">
        <v>16073.20743155893</v>
      </c>
      <c r="K64">
        <v>50368.35291240142</v>
      </c>
      <c r="L64">
        <v>27315.04071869015</v>
      </c>
      <c r="M64">
        <v>12915.34803395579</v>
      </c>
      <c r="N64">
        <v>34785.30364548783</v>
      </c>
      <c r="O64">
        <v>56024.51654417234</v>
      </c>
      <c r="P64">
        <v>63358.6492426105</v>
      </c>
      <c r="Q64">
        <v>63402.10661687746</v>
      </c>
      <c r="R64">
        <v>28633.88483022707</v>
      </c>
      <c r="S64">
        <v>34999.95187078914</v>
      </c>
      <c r="T64">
        <v>55834.96314760235</v>
      </c>
      <c r="U64">
        <v>67198.78060448222</v>
      </c>
      <c r="V64">
        <v>69574.36544092937</v>
      </c>
      <c r="W64">
        <v>56684.57478938138</v>
      </c>
      <c r="X64">
        <v>126097.3808102762</v>
      </c>
      <c r="Y64">
        <v>68064.22997663345</v>
      </c>
      <c r="Z64">
        <v>4150.528071522642</v>
      </c>
      <c r="AA64">
        <v>18155.12449769261</v>
      </c>
      <c r="AB64">
        <v>1118620.72009087</v>
      </c>
      <c r="AC64">
        <v>144987.2397104573</v>
      </c>
      <c r="AD64">
        <v>573537.8230234926</v>
      </c>
      <c r="AE64">
        <v>939839.281088601</v>
      </c>
      <c r="AF64">
        <v>203665.2929711994</v>
      </c>
      <c r="AG64">
        <v>115501.2561856102</v>
      </c>
      <c r="AH64">
        <v>86124.85316084795</v>
      </c>
      <c r="AI64">
        <v>155999.4822930792</v>
      </c>
      <c r="AJ64">
        <v>139266.3563358288</v>
      </c>
      <c r="AK64">
        <v>1681308.539386447</v>
      </c>
      <c r="AL64">
        <v>37079.18936398601</v>
      </c>
      <c r="AM64">
        <v>1464131.469688268</v>
      </c>
      <c r="AN64">
        <v>94568.49262259253</v>
      </c>
      <c r="AO64">
        <v>687349.797548864</v>
      </c>
      <c r="AP64">
        <v>113222.940190922</v>
      </c>
      <c r="AQ64">
        <v>18867.95014637953</v>
      </c>
      <c r="AR64">
        <v>20378.63449763357</v>
      </c>
      <c r="AS64">
        <v>328657.4593326989</v>
      </c>
      <c r="AT64">
        <v>7114.813569286432</v>
      </c>
      <c r="AU64">
        <v>1145110.734710235</v>
      </c>
      <c r="AV64">
        <v>57197.28701485651</v>
      </c>
      <c r="AW64">
        <v>2911.446843385374</v>
      </c>
      <c r="AX64">
        <v>2755225.143574541</v>
      </c>
      <c r="AY64">
        <v>120727.7029103251</v>
      </c>
      <c r="AZ64">
        <v>186527.9618177678</v>
      </c>
      <c r="BA64">
        <v>21648.01979028455</v>
      </c>
      <c r="BB64">
        <v>1075129.95883894</v>
      </c>
      <c r="BC64">
        <v>1238763.882875625</v>
      </c>
      <c r="BD64">
        <v>166957.9626761099</v>
      </c>
      <c r="BE64">
        <v>131034.5993712586</v>
      </c>
      <c r="BF64">
        <v>352169.8827533053</v>
      </c>
      <c r="BG64">
        <v>7981.919736057696</v>
      </c>
      <c r="BH64">
        <v>26459708.80359472</v>
      </c>
      <c r="BI64">
        <v>838218.8795339613</v>
      </c>
      <c r="BJ64">
        <v>29329.14725301008</v>
      </c>
      <c r="BK64">
        <v>30760.38647268682</v>
      </c>
      <c r="BL64">
        <v>76211.1984471507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312132211.2648179</v>
      </c>
      <c r="BT64">
        <v>36758472.37939069</v>
      </c>
      <c r="BU64">
        <v>1417423.420509777</v>
      </c>
      <c r="BV64">
        <v>664920.7378748992</v>
      </c>
      <c r="BW64">
        <f>SUM(B64:BV64)</f>
        <v>394741297.6631866</v>
      </c>
    </row>
    <row r="65" spans="1:75">
      <c r="A65" t="s">
        <v>62</v>
      </c>
      <c r="B65">
        <v>20740.09992577243</v>
      </c>
      <c r="C65">
        <v>1129.276207831452</v>
      </c>
      <c r="D65">
        <v>1973.259422902646</v>
      </c>
      <c r="E65">
        <v>80783.74329886721</v>
      </c>
      <c r="F65">
        <v>222959.4171119219</v>
      </c>
      <c r="G65">
        <v>244109.6740319158</v>
      </c>
      <c r="H65">
        <v>19560.77046901057</v>
      </c>
      <c r="I65">
        <v>32630.67105518141</v>
      </c>
      <c r="J65">
        <v>28775.23247944079</v>
      </c>
      <c r="K65">
        <v>276099.9333237146</v>
      </c>
      <c r="L65">
        <v>75515.96190454086</v>
      </c>
      <c r="M65">
        <v>22407.40406858061</v>
      </c>
      <c r="N65">
        <v>114437.4778829485</v>
      </c>
      <c r="O65">
        <v>113898.2633919674</v>
      </c>
      <c r="P65">
        <v>180673.187518737</v>
      </c>
      <c r="Q65">
        <v>145079.5361884932</v>
      </c>
      <c r="R65">
        <v>30022.74080919332</v>
      </c>
      <c r="S65">
        <v>71125.87786823043</v>
      </c>
      <c r="T65">
        <v>89573.93230498591</v>
      </c>
      <c r="U65">
        <v>157656.5243743498</v>
      </c>
      <c r="V65">
        <v>223666.4866451556</v>
      </c>
      <c r="W65">
        <v>95725.17789353961</v>
      </c>
      <c r="X65">
        <v>241246.5715112843</v>
      </c>
      <c r="Y65">
        <v>225315.320080767</v>
      </c>
      <c r="Z65">
        <v>17418.93878661848</v>
      </c>
      <c r="AA65">
        <v>42670.13790785614</v>
      </c>
      <c r="AB65">
        <v>2148337.826900186</v>
      </c>
      <c r="AC65">
        <v>359264.0582508475</v>
      </c>
      <c r="AD65">
        <v>1476054.24950599</v>
      </c>
      <c r="AE65">
        <v>1092530.501645245</v>
      </c>
      <c r="AF65">
        <v>600758.6757409507</v>
      </c>
      <c r="AG65">
        <v>694222.1972769677</v>
      </c>
      <c r="AH65">
        <v>367679.2085401771</v>
      </c>
      <c r="AI65">
        <v>528585.0555297389</v>
      </c>
      <c r="AJ65">
        <v>249333.9010554242</v>
      </c>
      <c r="AK65">
        <v>1656911.18234709</v>
      </c>
      <c r="AL65">
        <v>21072.00297330681</v>
      </c>
      <c r="AM65">
        <v>126722.255254354</v>
      </c>
      <c r="AN65">
        <v>113283.6720025972</v>
      </c>
      <c r="AO65">
        <v>132135.8365311149</v>
      </c>
      <c r="AP65">
        <v>45935.96307685727</v>
      </c>
      <c r="AQ65">
        <v>2621.337384911718</v>
      </c>
      <c r="AR65">
        <v>7568.342843605409</v>
      </c>
      <c r="AS65">
        <v>600288.4712102794</v>
      </c>
      <c r="AT65">
        <v>7332.361584793122</v>
      </c>
      <c r="AU65">
        <v>621094.6970605409</v>
      </c>
      <c r="AV65">
        <v>121413.7205412038</v>
      </c>
      <c r="AW65">
        <v>8905.365066895749</v>
      </c>
      <c r="AX65">
        <v>619908.7811472313</v>
      </c>
      <c r="AY65">
        <v>138668.6302372645</v>
      </c>
      <c r="AZ65">
        <v>160910.4093111296</v>
      </c>
      <c r="BA65">
        <v>57607.53614378555</v>
      </c>
      <c r="BB65">
        <v>997787.6798104503</v>
      </c>
      <c r="BC65">
        <v>378140.4196906037</v>
      </c>
      <c r="BD65">
        <v>200017.9132497504</v>
      </c>
      <c r="BE65">
        <v>225723.3175281682</v>
      </c>
      <c r="BF65">
        <v>346712.6878111253</v>
      </c>
      <c r="BG65">
        <v>24996.16319904258</v>
      </c>
      <c r="BH65">
        <v>805840.5413585916</v>
      </c>
      <c r="BI65">
        <v>3817755.290133752</v>
      </c>
      <c r="BJ65">
        <v>36045.53983897014</v>
      </c>
      <c r="BK65">
        <v>9616.872137791808</v>
      </c>
      <c r="BL65">
        <v>120583.721581513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73543294.5689677</v>
      </c>
      <c r="BT65">
        <v>32226803.68570102</v>
      </c>
      <c r="BU65">
        <v>91209.16838506031</v>
      </c>
      <c r="BV65">
        <v>405118.2758656698</v>
      </c>
      <c r="BW65">
        <f>SUM(B65:BV65)</f>
        <v>127963987.70088552</v>
      </c>
    </row>
    <row r="66" spans="1:75">
      <c r="A66" t="s">
        <v>63</v>
      </c>
      <c r="B66">
        <v>1159696.367032335</v>
      </c>
      <c r="C66">
        <v>5573.628501751879</v>
      </c>
      <c r="D66">
        <v>604.3225141831142</v>
      </c>
      <c r="E66">
        <v>11908.62828191521</v>
      </c>
      <c r="F66">
        <v>29120.1869346931</v>
      </c>
      <c r="G66">
        <v>120135.8583463392</v>
      </c>
      <c r="H66">
        <v>3483.696122311244</v>
      </c>
      <c r="I66">
        <v>10705.44109384805</v>
      </c>
      <c r="J66">
        <v>3321.314028082537</v>
      </c>
      <c r="K66">
        <v>3185.800077157201</v>
      </c>
      <c r="L66">
        <v>14103.5104586992</v>
      </c>
      <c r="M66">
        <v>15122.00899416346</v>
      </c>
      <c r="N66">
        <v>39364.69108762508</v>
      </c>
      <c r="O66">
        <v>25213.95476309969</v>
      </c>
      <c r="P66">
        <v>30930.43199078623</v>
      </c>
      <c r="Q66">
        <v>36525.14046390012</v>
      </c>
      <c r="R66">
        <v>6348.704180504441</v>
      </c>
      <c r="S66">
        <v>12734.86052264544</v>
      </c>
      <c r="T66">
        <v>28080.37629839856</v>
      </c>
      <c r="U66">
        <v>56369.38816076527</v>
      </c>
      <c r="V66">
        <v>27054.72336249135</v>
      </c>
      <c r="W66">
        <v>21267.83508716435</v>
      </c>
      <c r="X66">
        <v>5542.649305796704</v>
      </c>
      <c r="Y66">
        <v>42584.3393105609</v>
      </c>
      <c r="Z66">
        <v>1344.598909928182</v>
      </c>
      <c r="AA66">
        <v>2767.649692045761</v>
      </c>
      <c r="AB66">
        <v>345378.4132191104</v>
      </c>
      <c r="AC66">
        <v>137437.03148022</v>
      </c>
      <c r="AD66">
        <v>7373745.075551199</v>
      </c>
      <c r="AE66">
        <v>1414320.516690357</v>
      </c>
      <c r="AF66">
        <v>58413.51192331828</v>
      </c>
      <c r="AG66">
        <v>11116.92332069183</v>
      </c>
      <c r="AH66">
        <v>125520.1941364388</v>
      </c>
      <c r="AI66">
        <v>291942.5933472316</v>
      </c>
      <c r="AJ66">
        <v>98050.2670547492</v>
      </c>
      <c r="AK66">
        <v>451949.6240027004</v>
      </c>
      <c r="AL66">
        <v>2691.095040295043</v>
      </c>
      <c r="AM66">
        <v>15060.54033275979</v>
      </c>
      <c r="AN66">
        <v>119445.004721161</v>
      </c>
      <c r="AO66">
        <v>21193.54385402154</v>
      </c>
      <c r="AP66">
        <v>2709590.059684176</v>
      </c>
      <c r="AQ66">
        <v>63821.5531539537</v>
      </c>
      <c r="AR66">
        <v>1331532.745945341</v>
      </c>
      <c r="AS66">
        <v>395605.9888244131</v>
      </c>
      <c r="AT66">
        <v>0</v>
      </c>
      <c r="AU66">
        <v>65211.16341297813</v>
      </c>
      <c r="AV66">
        <v>13237.30086279547</v>
      </c>
      <c r="AW66">
        <v>2722.979056390965</v>
      </c>
      <c r="AX66">
        <v>52946.7659049381</v>
      </c>
      <c r="AY66">
        <v>5268.018681529297</v>
      </c>
      <c r="AZ66">
        <v>10826.7594334754</v>
      </c>
      <c r="BA66">
        <v>884.2931425700772</v>
      </c>
      <c r="BB66">
        <v>50874.82355419485</v>
      </c>
      <c r="BC66">
        <v>551412.6350276028</v>
      </c>
      <c r="BD66">
        <v>668748.9229509169</v>
      </c>
      <c r="BE66">
        <v>257610.9916197703</v>
      </c>
      <c r="BF66">
        <v>412070.3468709377</v>
      </c>
      <c r="BG66">
        <v>8812.353784072742</v>
      </c>
      <c r="BH66">
        <v>59664.43143285921</v>
      </c>
      <c r="BI66">
        <v>96398.83491706404</v>
      </c>
      <c r="BJ66">
        <v>15246144.14405117</v>
      </c>
      <c r="BK66">
        <v>1232.484771088073</v>
      </c>
      <c r="BL66">
        <v>33902.9417659904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68905505.81366658</v>
      </c>
      <c r="BT66">
        <v>53384029.89416879</v>
      </c>
      <c r="BU66">
        <v>0</v>
      </c>
      <c r="BV66">
        <v>1439.030647261088</v>
      </c>
      <c r="BW66">
        <f>SUM(B66:BV66)</f>
        <v>156508849.71752632</v>
      </c>
    </row>
    <row r="67" spans="1:75">
      <c r="A67" t="s">
        <v>64</v>
      </c>
      <c r="B67">
        <v>86101.3065788713</v>
      </c>
      <c r="C67">
        <v>10050.2777245627</v>
      </c>
      <c r="D67">
        <v>1754.778219420966</v>
      </c>
      <c r="E67">
        <v>60220.28087742525</v>
      </c>
      <c r="F67">
        <v>385040.3415613528</v>
      </c>
      <c r="G67">
        <v>375972.9246477076</v>
      </c>
      <c r="H67">
        <v>36009.15089801175</v>
      </c>
      <c r="I67">
        <v>93244.89950038116</v>
      </c>
      <c r="J67">
        <v>34753.53535811027</v>
      </c>
      <c r="K67">
        <v>21988.56591719543</v>
      </c>
      <c r="L67">
        <v>70080.11594713674</v>
      </c>
      <c r="M67">
        <v>20730.15388662474</v>
      </c>
      <c r="N67">
        <v>126818.5694526755</v>
      </c>
      <c r="O67">
        <v>122259.2240037295</v>
      </c>
      <c r="P67">
        <v>123439.3668750492</v>
      </c>
      <c r="Q67">
        <v>385676.8776834526</v>
      </c>
      <c r="R67">
        <v>134954.3527058829</v>
      </c>
      <c r="S67">
        <v>1229554.250313108</v>
      </c>
      <c r="T67">
        <v>307676.2855743041</v>
      </c>
      <c r="U67">
        <v>274642.7142198997</v>
      </c>
      <c r="V67">
        <v>94070.14231273002</v>
      </c>
      <c r="W67">
        <v>382519.0469969844</v>
      </c>
      <c r="X67">
        <v>219808.8944430236</v>
      </c>
      <c r="Y67">
        <v>87655.07744651816</v>
      </c>
      <c r="Z67">
        <v>37216.71187840821</v>
      </c>
      <c r="AA67">
        <v>24578.08697184406</v>
      </c>
      <c r="AB67">
        <v>1705544.072783688</v>
      </c>
      <c r="AC67">
        <v>222235.4257120206</v>
      </c>
      <c r="AD67">
        <v>3397400.32178939</v>
      </c>
      <c r="AE67">
        <v>707317.0136658548</v>
      </c>
      <c r="AF67">
        <v>440068.8123282075</v>
      </c>
      <c r="AG67">
        <v>51833.77357875137</v>
      </c>
      <c r="AH67">
        <v>120652.0839979292</v>
      </c>
      <c r="AI67">
        <v>148350.3259192206</v>
      </c>
      <c r="AJ67">
        <v>95109.41553589664</v>
      </c>
      <c r="AK67">
        <v>593894.8579227048</v>
      </c>
      <c r="AL67">
        <v>26972.25830062768</v>
      </c>
      <c r="AM67">
        <v>33455.25966137391</v>
      </c>
      <c r="AN67">
        <v>104582.4690707752</v>
      </c>
      <c r="AO67">
        <v>464317.2232677407</v>
      </c>
      <c r="AP67">
        <v>41677.64499497427</v>
      </c>
      <c r="AQ67">
        <v>25233.74185879424</v>
      </c>
      <c r="AR67">
        <v>206661.0359459803</v>
      </c>
      <c r="AS67">
        <v>140712.1760094124</v>
      </c>
      <c r="AT67">
        <v>21481.47601546344</v>
      </c>
      <c r="AU67">
        <v>144730.091525629</v>
      </c>
      <c r="AV67">
        <v>216496.7826196877</v>
      </c>
      <c r="AW67">
        <v>5476.369651233318</v>
      </c>
      <c r="AX67">
        <v>117552.5212060148</v>
      </c>
      <c r="AY67">
        <v>48611.65005792621</v>
      </c>
      <c r="AZ67">
        <v>57483.01370557324</v>
      </c>
      <c r="BA67">
        <v>17477.16608917917</v>
      </c>
      <c r="BB67">
        <v>39696.68840443113</v>
      </c>
      <c r="BC67">
        <v>125528.3951418</v>
      </c>
      <c r="BD67">
        <v>219619.795700109</v>
      </c>
      <c r="BE67">
        <v>181155.7738404457</v>
      </c>
      <c r="BF67">
        <v>848203.9421336476</v>
      </c>
      <c r="BG67">
        <v>15193.32410721331</v>
      </c>
      <c r="BH67">
        <v>68786.47051891357</v>
      </c>
      <c r="BI67">
        <v>77839.98121298369</v>
      </c>
      <c r="BJ67">
        <v>12833.73173966913</v>
      </c>
      <c r="BK67">
        <v>680064.3961044725</v>
      </c>
      <c r="BL67">
        <v>52265.21864696554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41563826.1751783</v>
      </c>
      <c r="BT67">
        <v>67034.23014408439</v>
      </c>
      <c r="BU67">
        <v>1286845.349429547</v>
      </c>
      <c r="BV67">
        <v>989462.8708809945</v>
      </c>
      <c r="BW67">
        <f>SUM(B67:BV67)</f>
        <v>60130499.25839203</v>
      </c>
    </row>
    <row r="68" spans="1:75">
      <c r="A68" t="s">
        <v>65</v>
      </c>
      <c r="B68">
        <v>134052.4711964044</v>
      </c>
      <c r="C68">
        <v>1855.584852445238</v>
      </c>
      <c r="D68">
        <v>15412.22068536668</v>
      </c>
      <c r="E68">
        <v>657832.3229709299</v>
      </c>
      <c r="F68">
        <v>375891.6009466521</v>
      </c>
      <c r="G68">
        <v>2059059.307641075</v>
      </c>
      <c r="H68">
        <v>31111.23184039898</v>
      </c>
      <c r="I68">
        <v>344276.4786019158</v>
      </c>
      <c r="J68">
        <v>21790.99442272591</v>
      </c>
      <c r="K68">
        <v>17506.83471799571</v>
      </c>
      <c r="L68">
        <v>61648.83022218666</v>
      </c>
      <c r="M68">
        <v>43935.09073512799</v>
      </c>
      <c r="N68">
        <v>88353.33418439327</v>
      </c>
      <c r="O68">
        <v>1329584.339571101</v>
      </c>
      <c r="P68">
        <v>83721.24011239088</v>
      </c>
      <c r="Q68">
        <v>127937.2543817454</v>
      </c>
      <c r="R68">
        <v>37167.39633049435</v>
      </c>
      <c r="S68">
        <v>86322.95643997495</v>
      </c>
      <c r="T68">
        <v>151270.7696606089</v>
      </c>
      <c r="U68">
        <v>144087.2539329242</v>
      </c>
      <c r="V68">
        <v>49199.92908889976</v>
      </c>
      <c r="W68">
        <v>106464.6720431904</v>
      </c>
      <c r="X68">
        <v>78021.3317765072</v>
      </c>
      <c r="Y68">
        <v>101799.1729207498</v>
      </c>
      <c r="Z68">
        <v>12924.18594193672</v>
      </c>
      <c r="AA68">
        <v>21071.93878909923</v>
      </c>
      <c r="AB68">
        <v>1235207.959647623</v>
      </c>
      <c r="AC68">
        <v>403827.2363582484</v>
      </c>
      <c r="AD68">
        <v>311123.2841396694</v>
      </c>
      <c r="AE68">
        <v>627883.3678557717</v>
      </c>
      <c r="AF68">
        <v>582283.3082143677</v>
      </c>
      <c r="AG68">
        <v>114801.2299202331</v>
      </c>
      <c r="AH68">
        <v>365113.480182691</v>
      </c>
      <c r="AI68">
        <v>466605.7546907369</v>
      </c>
      <c r="AJ68">
        <v>157605.2825916235</v>
      </c>
      <c r="AK68">
        <v>1927531.118644569</v>
      </c>
      <c r="AL68">
        <v>14505.67748428192</v>
      </c>
      <c r="AM68">
        <v>151558.3941982069</v>
      </c>
      <c r="AN68">
        <v>35849.58603730529</v>
      </c>
      <c r="AO68">
        <v>93034.59285804111</v>
      </c>
      <c r="AP68">
        <v>41151.45043222673</v>
      </c>
      <c r="AQ68">
        <v>1680.415297423899</v>
      </c>
      <c r="AR68">
        <v>3279.379196158545</v>
      </c>
      <c r="AS68">
        <v>369888.0714671435</v>
      </c>
      <c r="AT68">
        <v>6560.935988111309</v>
      </c>
      <c r="AU68">
        <v>131327.5985943325</v>
      </c>
      <c r="AV68">
        <v>117571.3844047315</v>
      </c>
      <c r="AW68">
        <v>3845.771987745821</v>
      </c>
      <c r="AX68">
        <v>278811.5520453658</v>
      </c>
      <c r="AY68">
        <v>129030.5153121367</v>
      </c>
      <c r="AZ68">
        <v>151199.170103081</v>
      </c>
      <c r="BA68">
        <v>13063.9204407011</v>
      </c>
      <c r="BB68">
        <v>331897.0025188177</v>
      </c>
      <c r="BC68">
        <v>245427.4804997952</v>
      </c>
      <c r="BD68">
        <v>105164.3266101906</v>
      </c>
      <c r="BE68">
        <v>57065.41670769858</v>
      </c>
      <c r="BF68">
        <v>214473.7225769642</v>
      </c>
      <c r="BG68">
        <v>34000.87198570832</v>
      </c>
      <c r="BH68">
        <v>47022.51995607165</v>
      </c>
      <c r="BI68">
        <v>113952.4251239359</v>
      </c>
      <c r="BJ68">
        <v>9596.571388531682</v>
      </c>
      <c r="BK68">
        <v>28421.52910987661</v>
      </c>
      <c r="BL68">
        <v>1862235.822363235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91350662.94316687</v>
      </c>
      <c r="BT68">
        <v>325373.1174415621</v>
      </c>
      <c r="BU68">
        <v>167277.7288003627</v>
      </c>
      <c r="BV68">
        <v>747199.8949984725</v>
      </c>
      <c r="BW68">
        <f>SUM(B68:BV68)</f>
        <v>109556410.55534787</v>
      </c>
    </row>
    <row r="69" spans="1:75">
      <c r="A69" t="s">
        <v>66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15703634.43914855</v>
      </c>
      <c r="BT69">
        <v>0</v>
      </c>
      <c r="BU69">
        <v>0</v>
      </c>
      <c r="BV69">
        <v>0</v>
      </c>
      <c r="BW69">
        <f>SUM(B69:BV69)</f>
        <v>15703634.43914855</v>
      </c>
    </row>
    <row r="70" spans="1:75">
      <c r="A70" t="s">
        <v>67</v>
      </c>
      <c r="B70">
        <v>76783286.51273666</v>
      </c>
      <c r="C70">
        <v>2738475.538559194</v>
      </c>
      <c r="D70">
        <v>2319713.152792845</v>
      </c>
      <c r="E70">
        <v>74387887.8827537</v>
      </c>
      <c r="F70">
        <v>209700699.8169608</v>
      </c>
      <c r="G70">
        <v>320074594.954161</v>
      </c>
      <c r="H70">
        <v>24857788.79501244</v>
      </c>
      <c r="I70">
        <v>40405291.14253348</v>
      </c>
      <c r="J70">
        <v>12520048.59616662</v>
      </c>
      <c r="K70">
        <v>42998016.94028165</v>
      </c>
      <c r="L70">
        <v>58076147.96451788</v>
      </c>
      <c r="M70">
        <v>30688621.79195006</v>
      </c>
      <c r="N70">
        <v>102855384.2183809</v>
      </c>
      <c r="O70">
        <v>108585349.9864039</v>
      </c>
      <c r="P70">
        <v>94602936.17115659</v>
      </c>
      <c r="Q70">
        <v>140515736.4120919</v>
      </c>
      <c r="R70">
        <v>42025294.947306</v>
      </c>
      <c r="S70">
        <v>101088798.2898</v>
      </c>
      <c r="T70">
        <v>128239863.2291959</v>
      </c>
      <c r="U70">
        <v>125662990.2242833</v>
      </c>
      <c r="V70">
        <v>57365881.49206557</v>
      </c>
      <c r="W70">
        <v>84438344.83530447</v>
      </c>
      <c r="X70">
        <v>53967600.08986698</v>
      </c>
      <c r="Y70">
        <v>64323511.49048079</v>
      </c>
      <c r="Z70">
        <v>20939138.09475287</v>
      </c>
      <c r="AA70">
        <v>22636801.87469309</v>
      </c>
      <c r="AB70">
        <v>476762007.3956406</v>
      </c>
      <c r="AC70">
        <v>110035835.6947421</v>
      </c>
      <c r="AD70">
        <v>458861255.0812582</v>
      </c>
      <c r="AE70">
        <v>501485945.6274888</v>
      </c>
      <c r="AF70">
        <v>162920411.8372958</v>
      </c>
      <c r="AG70">
        <v>15945265.36943738</v>
      </c>
      <c r="AH70">
        <v>77488096.06628329</v>
      </c>
      <c r="AI70">
        <v>114079130.6112038</v>
      </c>
      <c r="AJ70">
        <v>30378612.30849067</v>
      </c>
      <c r="AK70">
        <v>344716401.516319</v>
      </c>
      <c r="AL70">
        <v>11566935.83023711</v>
      </c>
      <c r="AM70">
        <v>15826313.38814953</v>
      </c>
      <c r="AN70">
        <v>32750710.63560059</v>
      </c>
      <c r="AO70">
        <v>143667639.9975994</v>
      </c>
      <c r="AP70">
        <v>187862543.0995229</v>
      </c>
      <c r="AQ70">
        <v>38691751.69354378</v>
      </c>
      <c r="AR70">
        <v>19274654.55234873</v>
      </c>
      <c r="AS70">
        <v>73675126.38156818</v>
      </c>
      <c r="AT70">
        <v>0</v>
      </c>
      <c r="AU70">
        <v>99721047.70329845</v>
      </c>
      <c r="AV70">
        <v>61445976.77834538</v>
      </c>
      <c r="AW70">
        <v>14712975.76368854</v>
      </c>
      <c r="AX70">
        <v>23752455.33827237</v>
      </c>
      <c r="AY70">
        <v>16533438.7770146</v>
      </c>
      <c r="AZ70">
        <v>11201188.08487474</v>
      </c>
      <c r="BA70">
        <v>207173650.4807954</v>
      </c>
      <c r="BB70">
        <v>21807899.25124502</v>
      </c>
      <c r="BC70">
        <v>198803992.6237711</v>
      </c>
      <c r="BD70">
        <v>884793192.455424</v>
      </c>
      <c r="BE70">
        <v>632759396.7199519</v>
      </c>
      <c r="BF70">
        <v>507474345.1892324</v>
      </c>
      <c r="BG70">
        <v>26969176.93642461</v>
      </c>
      <c r="BH70">
        <v>21144733.21137603</v>
      </c>
      <c r="BI70">
        <v>39136102.1015044</v>
      </c>
      <c r="BJ70">
        <v>78812879.27120106</v>
      </c>
      <c r="BK70">
        <v>11179128.01979322</v>
      </c>
      <c r="BL70">
        <v>23603345.33267715</v>
      </c>
      <c r="BM70">
        <v>15703634.43914856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f>SUM(B70:BV70)</f>
        <v>7755515400.008978</v>
      </c>
    </row>
    <row r="71" spans="1:75">
      <c r="A71" t="s">
        <v>68</v>
      </c>
      <c r="B71">
        <v>1587013673.429386</v>
      </c>
      <c r="C71">
        <v>54954349.27578311</v>
      </c>
      <c r="D71">
        <v>47704453.78185727</v>
      </c>
      <c r="E71">
        <v>200783010.2313808</v>
      </c>
      <c r="F71">
        <v>617442002.9441845</v>
      </c>
      <c r="G71">
        <v>444710554.4349923</v>
      </c>
      <c r="H71">
        <v>66964912.63180786</v>
      </c>
      <c r="I71">
        <v>85955983.24142855</v>
      </c>
      <c r="J71">
        <v>32115907.47419755</v>
      </c>
      <c r="K71">
        <v>110547204.1238697</v>
      </c>
      <c r="L71">
        <v>211126965.4982116</v>
      </c>
      <c r="M71">
        <v>64721159.68163981</v>
      </c>
      <c r="N71">
        <v>174024553.0975472</v>
      </c>
      <c r="O71">
        <v>231346765.314495</v>
      </c>
      <c r="P71">
        <v>239829897.4307485</v>
      </c>
      <c r="Q71">
        <v>270021095.6997458</v>
      </c>
      <c r="R71">
        <v>78529880.74143568</v>
      </c>
      <c r="S71">
        <v>182689360.3835932</v>
      </c>
      <c r="T71">
        <v>201512226.8931269</v>
      </c>
      <c r="U71">
        <v>247012385.2799469</v>
      </c>
      <c r="V71">
        <v>139196047.9677573</v>
      </c>
      <c r="W71">
        <v>179830238.2698629</v>
      </c>
      <c r="X71">
        <v>91046123.80163549</v>
      </c>
      <c r="Y71">
        <v>488209009.9830527</v>
      </c>
      <c r="Z71">
        <v>20305375.16113157</v>
      </c>
      <c r="AA71">
        <v>113414820.105117</v>
      </c>
      <c r="AB71">
        <v>972805823.8327934</v>
      </c>
      <c r="AC71">
        <v>514994333.542905</v>
      </c>
      <c r="AD71">
        <v>1038045979.877304</v>
      </c>
      <c r="AE71">
        <v>1046007855.704053</v>
      </c>
      <c r="AF71">
        <v>1483992012.873163</v>
      </c>
      <c r="AG71">
        <v>106734913.6171963</v>
      </c>
      <c r="AH71">
        <v>111796055.5900474</v>
      </c>
      <c r="AI71">
        <v>322640991.1324422</v>
      </c>
      <c r="AJ71">
        <v>28120479.99039359</v>
      </c>
      <c r="AK71">
        <v>600172118.7257341</v>
      </c>
      <c r="AL71">
        <v>19695916.22928496</v>
      </c>
      <c r="AM71">
        <v>36972819.26393598</v>
      </c>
      <c r="AN71">
        <v>77836468.20553847</v>
      </c>
      <c r="AO71">
        <v>294200701.3634411</v>
      </c>
      <c r="AP71">
        <v>385325799.1747879</v>
      </c>
      <c r="AQ71">
        <v>211426922.754387</v>
      </c>
      <c r="AR71">
        <v>10803380.30922548</v>
      </c>
      <c r="AS71">
        <v>636775447.5104988</v>
      </c>
      <c r="AT71">
        <v>816392331.091285</v>
      </c>
      <c r="AU71">
        <v>162771631.8623472</v>
      </c>
      <c r="AV71">
        <v>102562963.3544592</v>
      </c>
      <c r="AW71">
        <v>3032354.150350766</v>
      </c>
      <c r="AX71">
        <v>34378310.77835424</v>
      </c>
      <c r="AY71">
        <v>39252069.56406868</v>
      </c>
      <c r="AZ71">
        <v>90743656.61667693</v>
      </c>
      <c r="BA71">
        <v>27430933.05527385</v>
      </c>
      <c r="BB71">
        <v>94394708.6094166</v>
      </c>
      <c r="BC71">
        <v>134688756.9018723</v>
      </c>
      <c r="BD71">
        <v>256244109.8127894</v>
      </c>
      <c r="BE71">
        <v>224692622.3485475</v>
      </c>
      <c r="BF71">
        <v>172475249.5440644</v>
      </c>
      <c r="BG71">
        <v>22162289.37715043</v>
      </c>
      <c r="BH71">
        <v>284555000.1936454</v>
      </c>
      <c r="BI71">
        <v>25176514.08641426</v>
      </c>
      <c r="BJ71">
        <v>8877119.865862407</v>
      </c>
      <c r="BK71">
        <v>24845238.67372749</v>
      </c>
      <c r="BL71">
        <v>55332970.2632763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f>SUM(B71:BV71)</f>
        <v>16659364806.72465</v>
      </c>
    </row>
    <row r="72" spans="1:75">
      <c r="A72" t="s">
        <v>69</v>
      </c>
      <c r="B72">
        <f>'Tax_Bridge'!D6</f>
        <v>-40497646.41729643</v>
      </c>
      <c r="C72">
        <f>'Tax_Bridge'!D7</f>
        <v>43809.32864288765</v>
      </c>
      <c r="D72">
        <f>'Tax_Bridge'!D8</f>
        <v>43031.77347847018</v>
      </c>
      <c r="E72">
        <f>'Tax_Bridge'!D9</f>
        <v>-7361776.349188306</v>
      </c>
      <c r="F72">
        <f>'Tax_Bridge'!D10</f>
        <v>-27938700.06509559</v>
      </c>
      <c r="G72">
        <f>'Tax_Bridge'!D11</f>
        <v>-26638724.72876883</v>
      </c>
      <c r="H72">
        <f>'Tax_Bridge'!D12</f>
        <v>-2261101.605637244</v>
      </c>
      <c r="I72">
        <f>'Tax_Bridge'!D13</f>
        <v>-3752966.960414423</v>
      </c>
      <c r="J72">
        <f>'Tax_Bridge'!D14</f>
        <v>-1718291.492309961</v>
      </c>
      <c r="K72">
        <f>'Tax_Bridge'!D15</f>
        <v>-10353513.59669094</v>
      </c>
      <c r="L72">
        <f>'Tax_Bridge'!D16</f>
        <v>-8568679.056335444</v>
      </c>
      <c r="M72">
        <f>'Tax_Bridge'!D17</f>
        <v>-1753834.740380102</v>
      </c>
      <c r="N72">
        <f>'Tax_Bridge'!D18</f>
        <v>-9273071.159087677</v>
      </c>
      <c r="O72">
        <f>'Tax_Bridge'!D19</f>
        <v>-9311397.553996531</v>
      </c>
      <c r="P72">
        <f>'Tax_Bridge'!D20</f>
        <v>-21409319.06808137</v>
      </c>
      <c r="Q72">
        <f>'Tax_Bridge'!D21</f>
        <v>-9639454.813398307</v>
      </c>
      <c r="R72">
        <f>'Tax_Bridge'!D22</f>
        <v>-2047539.970017966</v>
      </c>
      <c r="S72">
        <f>'Tax_Bridge'!D23</f>
        <v>-9001793.787840633</v>
      </c>
      <c r="T72">
        <f>'Tax_Bridge'!D24</f>
        <v>-7563332.306271806</v>
      </c>
      <c r="U72">
        <f>'Tax_Bridge'!D25</f>
        <v>-13504654.25575757</v>
      </c>
      <c r="V72">
        <f>'Tax_Bridge'!D26</f>
        <v>-1468215.374654266</v>
      </c>
      <c r="W72">
        <f>'Tax_Bridge'!D27</f>
        <v>-5581316.216307546</v>
      </c>
      <c r="X72">
        <f>'Tax_Bridge'!D28</f>
        <v>-1163064.26004335</v>
      </c>
      <c r="Y72">
        <f>'Tax_Bridge'!D29</f>
        <v>-93626072.76997243</v>
      </c>
      <c r="Z72">
        <f>'Tax_Bridge'!D30</f>
        <v>102312.2952838526</v>
      </c>
      <c r="AA72">
        <f>'Tax_Bridge'!D31</f>
        <v>273854.9995543553</v>
      </c>
      <c r="AB72">
        <f>'Tax_Bridge'!D32</f>
        <v>9674349.777801447</v>
      </c>
      <c r="AC72">
        <f>'Tax_Bridge'!D33</f>
        <v>1370610.287587049</v>
      </c>
      <c r="AD72">
        <f>'Tax_Bridge'!D34</f>
        <v>4658252.368960645</v>
      </c>
      <c r="AE72">
        <f>'Tax_Bridge'!D35</f>
        <v>4950878.935821771</v>
      </c>
      <c r="AF72">
        <f>'Tax_Bridge'!D36</f>
        <v>-92409189.80423594</v>
      </c>
      <c r="AG72">
        <f>'Tax_Bridge'!D37</f>
        <v>1484319.422445677</v>
      </c>
      <c r="AH72">
        <f>'Tax_Bridge'!D38</f>
        <v>722063.2569802848</v>
      </c>
      <c r="AI72">
        <f>'Tax_Bridge'!D39</f>
        <v>93905.32239825721</v>
      </c>
      <c r="AJ72">
        <f>'Tax_Bridge'!D40</f>
        <v>186701.5025671844</v>
      </c>
      <c r="AK72">
        <f>'Tax_Bridge'!D41</f>
        <v>2241058.188492341</v>
      </c>
      <c r="AL72">
        <f>'Tax_Bridge'!D42</f>
        <v>110102.9183586191</v>
      </c>
      <c r="AM72">
        <f>'Tax_Bridge'!D43</f>
        <v>450712.2718732742</v>
      </c>
      <c r="AN72">
        <f>'Tax_Bridge'!D44</f>
        <v>5151657.359221421</v>
      </c>
      <c r="AO72">
        <f>'Tax_Bridge'!D45</f>
        <v>250202.7692498337</v>
      </c>
      <c r="AP72">
        <f>'Tax_Bridge'!D46</f>
        <v>-4588206.664685957</v>
      </c>
      <c r="AQ72">
        <f>'Tax_Bridge'!D47</f>
        <v>4376960.145511157</v>
      </c>
      <c r="AR72">
        <f>'Tax_Bridge'!D48</f>
        <v>25730947.96570551</v>
      </c>
      <c r="AS72">
        <f>'Tax_Bridge'!D49</f>
        <v>557621.111890134</v>
      </c>
      <c r="AT72">
        <f>'Tax_Bridge'!D50</f>
        <v>13571769.84660196</v>
      </c>
      <c r="AU72">
        <f>'Tax_Bridge'!D51</f>
        <v>870148.5541348088</v>
      </c>
      <c r="AV72">
        <f>'Tax_Bridge'!D52</f>
        <v>6075457.751566874</v>
      </c>
      <c r="AW72">
        <f>'Tax_Bridge'!D53</f>
        <v>16328.14090431921</v>
      </c>
      <c r="AX72">
        <f>'Tax_Bridge'!D54</f>
        <v>282008.6067759192</v>
      </c>
      <c r="AY72">
        <f>'Tax_Bridge'!D55</f>
        <v>112359.7157781875</v>
      </c>
      <c r="AZ72">
        <f>'Tax_Bridge'!D56</f>
        <v>689434.9867826661</v>
      </c>
      <c r="BA72">
        <f>'Tax_Bridge'!D57</f>
        <v>34948.09647111315</v>
      </c>
      <c r="BB72">
        <f>'Tax_Bridge'!D58</f>
        <v>408527.891291094</v>
      </c>
      <c r="BC72">
        <f>'Tax_Bridge'!D59</f>
        <v>954054.5132594242</v>
      </c>
      <c r="BD72">
        <f>'Tax_Bridge'!D60</f>
        <v>2383913.840730504</v>
      </c>
      <c r="BE72">
        <f>'Tax_Bridge'!D61</f>
        <v>304712.7614207856</v>
      </c>
      <c r="BF72">
        <f>'Tax_Bridge'!D62</f>
        <v>1248965.749883333</v>
      </c>
      <c r="BG72">
        <f>'Tax_Bridge'!D63</f>
        <v>28405.53166090378</v>
      </c>
      <c r="BH72">
        <f>'Tax_Bridge'!D64</f>
        <v>49382.326303047</v>
      </c>
      <c r="BI72">
        <f>'Tax_Bridge'!D65</f>
        <v>117147.222657298</v>
      </c>
      <c r="BJ72">
        <f>'Tax_Bridge'!D66</f>
        <v>183596.2604724618</v>
      </c>
      <c r="BK72">
        <f>'Tax_Bridge'!D67</f>
        <v>168318.5518629184</v>
      </c>
      <c r="BL72">
        <f>'Tax_Bridge'!D68</f>
        <v>406218.7355765543</v>
      </c>
      <c r="BM72">
        <f>'Tax_Bridge'!D69</f>
        <v>0.0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f>SUM(B72:BV72)</f>
        <v>-321052811.9305103</v>
      </c>
    </row>
    <row r="73" spans="1:75">
      <c r="A73" t="s">
        <v>70</v>
      </c>
      <c r="B73">
        <f>'Tax_Bridge'!C6</f>
        <v>-14134006.59453957</v>
      </c>
      <c r="C73">
        <f>'Tax_Bridge'!C7</f>
        <v>144781.1421751063</v>
      </c>
      <c r="D73">
        <f>'Tax_Bridge'!C8</f>
        <v>375484.2020096235</v>
      </c>
      <c r="E73">
        <f>'Tax_Bridge'!C9</f>
        <v>6086615.936848065</v>
      </c>
      <c r="F73">
        <f>'Tax_Bridge'!C10</f>
        <v>-5218209.715159202</v>
      </c>
      <c r="G73">
        <f>'Tax_Bridge'!C11</f>
        <v>13974022.49195853</v>
      </c>
      <c r="H73">
        <f>'Tax_Bridge'!C12</f>
        <v>1961103.883198935</v>
      </c>
      <c r="I73">
        <f>'Tax_Bridge'!C13</f>
        <v>4719029.343577891</v>
      </c>
      <c r="J73">
        <f>'Tax_Bridge'!C14</f>
        <v>1224519.86204447</v>
      </c>
      <c r="K73">
        <f>'Tax_Bridge'!C15</f>
        <v>59696501.32123023</v>
      </c>
      <c r="L73">
        <f>'Tax_Bridge'!C16</f>
        <v>11788425.71103102</v>
      </c>
      <c r="M73">
        <f>'Tax_Bridge'!C17</f>
        <v>1449736.703513356</v>
      </c>
      <c r="N73">
        <f>'Tax_Bridge'!C18</f>
        <v>8352764.29510885</v>
      </c>
      <c r="O73">
        <f>'Tax_Bridge'!C19</f>
        <v>9412408.528266706</v>
      </c>
      <c r="P73">
        <f>'Tax_Bridge'!C20</f>
        <v>19480726.64778794</v>
      </c>
      <c r="Q73">
        <f>'Tax_Bridge'!C21</f>
        <v>10251345.24004794</v>
      </c>
      <c r="R73">
        <f>'Tax_Bridge'!C22</f>
        <v>2691994.059496276</v>
      </c>
      <c r="S73">
        <f>'Tax_Bridge'!C23</f>
        <v>11316439.75525596</v>
      </c>
      <c r="T73">
        <f>'Tax_Bridge'!C24</f>
        <v>12801871.78476721</v>
      </c>
      <c r="U73">
        <f>'Tax_Bridge'!C25</f>
        <v>15624390.41054163</v>
      </c>
      <c r="V73">
        <f>'Tax_Bridge'!C26</f>
        <v>5620924.888988438</v>
      </c>
      <c r="W73">
        <f>'Tax_Bridge'!C27</f>
        <v>5442013.957609644</v>
      </c>
      <c r="X73">
        <f>'Tax_Bridge'!C28</f>
        <v>3919814.796601823</v>
      </c>
      <c r="Y73">
        <f>'Tax_Bridge'!C29</f>
        <v>70856531.99286951</v>
      </c>
      <c r="Z73">
        <f>'Tax_Bridge'!C30</f>
        <v>834707.3792682699</v>
      </c>
      <c r="AA73">
        <f>'Tax_Bridge'!C31</f>
        <v>2361625.259655555</v>
      </c>
      <c r="AB73">
        <f>'Tax_Bridge'!C32</f>
        <v>44651318.42581016</v>
      </c>
      <c r="AC73">
        <f>'Tax_Bridge'!C33</f>
        <v>7141115.075831615</v>
      </c>
      <c r="AD73">
        <f>'Tax_Bridge'!C34</f>
        <v>20893376.44264837</v>
      </c>
      <c r="AE73">
        <f>'Tax_Bridge'!C35</f>
        <v>11309659.69028419</v>
      </c>
      <c r="AF73">
        <f>'Tax_Bridge'!C36</f>
        <v>28811349.2893756</v>
      </c>
      <c r="AG73">
        <f>'Tax_Bridge'!C37</f>
        <v>2184835.706513112</v>
      </c>
      <c r="AH73">
        <f>'Tax_Bridge'!C38</f>
        <v>9516133.428514805</v>
      </c>
      <c r="AI73">
        <f>'Tax_Bridge'!C39</f>
        <v>7581257.472126739</v>
      </c>
      <c r="AJ73">
        <f>'Tax_Bridge'!C40</f>
        <v>1982026.943838386</v>
      </c>
      <c r="AK73">
        <f>'Tax_Bridge'!C41</f>
        <v>28822790.85072633</v>
      </c>
      <c r="AL73">
        <f>'Tax_Bridge'!C42</f>
        <v>1024249.602100818</v>
      </c>
      <c r="AM73">
        <f>'Tax_Bridge'!C43</f>
        <v>14797936.5473322</v>
      </c>
      <c r="AN73">
        <f>'Tax_Bridge'!C44</f>
        <v>4641329.497059665</v>
      </c>
      <c r="AO73">
        <f>'Tax_Bridge'!C45</f>
        <v>3392707.756176602</v>
      </c>
      <c r="AP73">
        <f>'Tax_Bridge'!C46</f>
        <v>31756525.0254198</v>
      </c>
      <c r="AQ73">
        <f>'Tax_Bridge'!C47</f>
        <v>10415267.36029065</v>
      </c>
      <c r="AR73">
        <f>'Tax_Bridge'!C48</f>
        <v>2726673.389646679</v>
      </c>
      <c r="AS73">
        <f>'Tax_Bridge'!C49</f>
        <v>4777312.972645775</v>
      </c>
      <c r="AT73">
        <f>'Tax_Bridge'!C50</f>
        <v>3765463.075041824</v>
      </c>
      <c r="AU73">
        <f>'Tax_Bridge'!C51</f>
        <v>2857008.812231447</v>
      </c>
      <c r="AV73">
        <f>'Tax_Bridge'!C52</f>
        <v>2643946.841618041</v>
      </c>
      <c r="AW73">
        <f>'Tax_Bridge'!C53</f>
        <v>242203.9892055229</v>
      </c>
      <c r="AX73">
        <f>'Tax_Bridge'!C54</f>
        <v>4304219.781380347</v>
      </c>
      <c r="AY73">
        <f>'Tax_Bridge'!C55</f>
        <v>497193.3494266415</v>
      </c>
      <c r="AZ73">
        <f>'Tax_Bridge'!C56</f>
        <v>2491866.717528904</v>
      </c>
      <c r="BA73">
        <f>'Tax_Bridge'!C57</f>
        <v>579334.7195478311</v>
      </c>
      <c r="BB73">
        <f>'Tax_Bridge'!C58</f>
        <v>4165581.016844516</v>
      </c>
      <c r="BC73">
        <f>'Tax_Bridge'!C59</f>
        <v>3282419.575905395</v>
      </c>
      <c r="BD73">
        <f>'Tax_Bridge'!C60</f>
        <v>12797127.78078491</v>
      </c>
      <c r="BE73">
        <f>'Tax_Bridge'!C61</f>
        <v>4336635.741415062</v>
      </c>
      <c r="BF73">
        <f>'Tax_Bridge'!C62</f>
        <v>5822874.588703548</v>
      </c>
      <c r="BG73">
        <f>'Tax_Bridge'!C63</f>
        <v>406046.5326082981</v>
      </c>
      <c r="BH73">
        <f>'Tax_Bridge'!C64</f>
        <v>2332978.011762087</v>
      </c>
      <c r="BI73">
        <f>'Tax_Bridge'!C65</f>
        <v>1146264.411998123</v>
      </c>
      <c r="BJ73">
        <f>'Tax_Bridge'!C66</f>
        <v>1369246.035640876</v>
      </c>
      <c r="BK73">
        <f>'Tax_Bridge'!C67</f>
        <v>685216.4577158045</v>
      </c>
      <c r="BL73">
        <f>'Tax_Bridge'!C68</f>
        <v>710302.2106311405</v>
      </c>
      <c r="BM73">
        <f>'Tax_Bridge'!C69</f>
        <v>0.0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f>'Tax_Bridge'!C70</f>
        <v>1396394534.764736</v>
      </c>
      <c r="BT73">
        <f>'Tax_Bridge'!C71</f>
        <v>97123096.88386586</v>
      </c>
      <c r="BU73">
        <f>'Tax_Bridge'!C72</f>
        <v>952226679.8391796</v>
      </c>
      <c r="BV73">
        <f>'Tax_Bridge'!C73</f>
        <v>0.0</v>
      </c>
      <c r="BW73">
        <f>SUM(B73:BV73)</f>
        <v>2997641669.8982677</v>
      </c>
    </row>
    <row r="74" spans="1:75">
      <c r="A74" t="s">
        <v>71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f>'Tax_Bridge'!B78</f>
        <v>1762053126.857001</v>
      </c>
      <c r="BT74">
        <v>0</v>
      </c>
      <c r="BU74">
        <v>0</v>
      </c>
      <c r="BV74">
        <v>0</v>
      </c>
      <c r="BW74">
        <f>SUM(B74:BV74)</f>
        <v>1762053126.857001</v>
      </c>
    </row>
    <row r="75" spans="1:75">
      <c r="A75" t="s">
        <v>72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f>SUM(B70:BM70)</f>
        <v>7755515400.008978</v>
      </c>
      <c r="BO75">
        <f>SUM(B71:BM71)</f>
        <v>16659364806.72465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f>SUM(B75:BV75)</f>
        <v>24414880206.733627</v>
      </c>
    </row>
    <row r="76" spans="1:75">
      <c r="A76" t="s">
        <v>73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f>SUM(B72:BV72)</f>
        <v>-321052811.9305103</v>
      </c>
      <c r="BQ76">
        <f>SUM(B73:BV73)</f>
        <v>2997641669.8982677</v>
      </c>
      <c r="BR76">
        <f>BS74</f>
        <v>1762053126.857001</v>
      </c>
      <c r="BS76">
        <v>0</v>
      </c>
      <c r="BT76">
        <v>0</v>
      </c>
      <c r="BU76">
        <v>0</v>
      </c>
      <c r="BV76">
        <v>0</v>
      </c>
      <c r="BW76">
        <f>SUM(B76:BV76)</f>
        <v>4438641984.824759</v>
      </c>
    </row>
    <row r="77" spans="1:75">
      <c r="A77" t="s">
        <v>74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f>BN75+BO75-SUM(BS6:BS69)-BS73-BS74</f>
        <v>6613725242.95961</v>
      </c>
      <c r="BT77">
        <f>BP76+BQ76+BR76-SUM(BT6:BT69)-BT73</f>
        <v>852798860.6981878</v>
      </c>
      <c r="BU77">
        <v>0</v>
      </c>
      <c r="BV77">
        <f>SUM(B78:BM78)-SUM(BV6:BV69)-BV73</f>
        <v>1903948127.4432564</v>
      </c>
      <c r="BW77">
        <f>SUM(B77:BV77)</f>
        <v>9370472231.101055</v>
      </c>
    </row>
    <row r="78" spans="1:75">
      <c r="A78" t="s">
        <v>75</v>
      </c>
      <c r="B78">
        <v>317980315.8839319</v>
      </c>
      <c r="C78">
        <v>1097532.455400384</v>
      </c>
      <c r="D78">
        <v>1623336.569609585</v>
      </c>
      <c r="E78">
        <v>978368842.5055256</v>
      </c>
      <c r="F78">
        <v>311985861.4427494</v>
      </c>
      <c r="G78">
        <v>255087814.0342766</v>
      </c>
      <c r="H78">
        <v>27631730.96765415</v>
      </c>
      <c r="I78">
        <v>117431889.8480678</v>
      </c>
      <c r="J78">
        <v>3455424.87657023</v>
      </c>
      <c r="K78">
        <v>688324244.8026574</v>
      </c>
      <c r="L78">
        <v>773601073.0352762</v>
      </c>
      <c r="M78">
        <v>122717004.8542557</v>
      </c>
      <c r="N78">
        <v>176469090.8616759</v>
      </c>
      <c r="O78">
        <v>138590160.4909579</v>
      </c>
      <c r="P78">
        <v>1383425100.282159</v>
      </c>
      <c r="Q78">
        <v>211930565.5293321</v>
      </c>
      <c r="R78">
        <v>423881342.0548255</v>
      </c>
      <c r="S78">
        <v>391272128.2807558</v>
      </c>
      <c r="T78">
        <v>629257417.1068466</v>
      </c>
      <c r="U78">
        <v>872835056.7180083</v>
      </c>
      <c r="V78">
        <v>173347377.3169201</v>
      </c>
      <c r="W78">
        <v>105935546.0500509</v>
      </c>
      <c r="X78">
        <v>34879671.80311383</v>
      </c>
      <c r="Y78">
        <v>31945566.2362023</v>
      </c>
      <c r="Z78">
        <v>71929.33637831901</v>
      </c>
      <c r="AA78">
        <v>215935132.5393066</v>
      </c>
      <c r="AB78">
        <v>67332354.27620956</v>
      </c>
      <c r="AC78">
        <v>6049565.127863079</v>
      </c>
      <c r="AD78">
        <v>69458753.07436748</v>
      </c>
      <c r="AE78">
        <v>12074155.84153607</v>
      </c>
      <c r="AF78">
        <v>31434097.90886221</v>
      </c>
      <c r="AG78">
        <v>5551516.420580214</v>
      </c>
      <c r="AH78">
        <v>17242824.05631903</v>
      </c>
      <c r="AI78">
        <v>81182169.32281765</v>
      </c>
      <c r="AJ78">
        <v>815995.0269568613</v>
      </c>
      <c r="AK78">
        <v>38463368.95936771</v>
      </c>
      <c r="AL78">
        <v>47972970.4485694</v>
      </c>
      <c r="AM78">
        <v>14059094.06815149</v>
      </c>
      <c r="AN78">
        <v>6723110.987710756</v>
      </c>
      <c r="AO78">
        <v>59226681.11287961</v>
      </c>
      <c r="AP78">
        <v>44415949.95320842</v>
      </c>
      <c r="AQ78">
        <v>57161181.78474072</v>
      </c>
      <c r="AR78">
        <v>2040991.264005447</v>
      </c>
      <c r="AS78">
        <v>5515484.707433158</v>
      </c>
      <c r="AT78">
        <v>0</v>
      </c>
      <c r="AU78">
        <v>46863282.72025912</v>
      </c>
      <c r="AV78">
        <v>30892885.01258362</v>
      </c>
      <c r="AW78">
        <v>1684734.413784735</v>
      </c>
      <c r="AX78">
        <v>25400511.96531956</v>
      </c>
      <c r="AY78">
        <v>15797047.34608299</v>
      </c>
      <c r="AZ78">
        <v>61598514.07235697</v>
      </c>
      <c r="BA78">
        <v>4220295.231832092</v>
      </c>
      <c r="BB78">
        <v>10482705.9623112</v>
      </c>
      <c r="BC78">
        <v>7393168.907248992</v>
      </c>
      <c r="BD78">
        <v>36706608.90349954</v>
      </c>
      <c r="BE78">
        <v>2565200.514871534</v>
      </c>
      <c r="BF78">
        <v>854218.6107954498</v>
      </c>
      <c r="BG78">
        <v>120647.8681817626</v>
      </c>
      <c r="BH78">
        <v>1273172.769520099</v>
      </c>
      <c r="BI78">
        <v>990670.2194661199</v>
      </c>
      <c r="BJ78">
        <v>3733.003507692191</v>
      </c>
      <c r="BK78">
        <v>358914.1942667867</v>
      </c>
      <c r="BL78">
        <v>368709.902613957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f>SUM(B78:BV78)</f>
        <v>9203376441.84259</v>
      </c>
    </row>
    <row r="79" spans="1:75">
      <c r="A79" t="s">
        <v>76</v>
      </c>
      <c r="B79">
        <f>SUM(B6:B78)</f>
        <v>2865510018.704438</v>
      </c>
      <c r="C79">
        <f>SUM(C6:C78)</f>
        <v>69435713.29015902</v>
      </c>
      <c r="D79">
        <f>SUM(D6:D78)</f>
        <v>69261410.76434304</v>
      </c>
      <c r="E79">
        <f>SUM(E6:E78)</f>
        <v>1526026343.4862401</v>
      </c>
      <c r="F79">
        <f>SUM(F6:F78)</f>
        <v>3114057519.659195</v>
      </c>
      <c r="G79">
        <f>SUM(G6:G78)</f>
        <v>2392305146.41106</v>
      </c>
      <c r="H79">
        <f>SUM(H6:H78)</f>
        <v>299266830.575466</v>
      </c>
      <c r="I79">
        <f>SUM(I6:I78)</f>
        <v>543878079.0436822</v>
      </c>
      <c r="J79">
        <f>SUM(J6:J78)</f>
        <v>121180388.63072136</v>
      </c>
      <c r="K79">
        <f>SUM(K6:K78)</f>
        <v>1481020712.4404693</v>
      </c>
      <c r="L79">
        <f>SUM(L6:L78)</f>
        <v>1640432240.0340457</v>
      </c>
      <c r="M79">
        <f>SUM(M6:M78)</f>
        <v>307369079.57615864</v>
      </c>
      <c r="N79">
        <f>SUM(N6:N78)</f>
        <v>1020135260.5059894</v>
      </c>
      <c r="O79">
        <f>SUM(O6:O78)</f>
        <v>1062588668.5276431</v>
      </c>
      <c r="P79">
        <f>SUM(P6:P78)</f>
        <v>3131001584.605157</v>
      </c>
      <c r="Q79">
        <f>SUM(Q6:Q78)</f>
        <v>1400023458.5538788</v>
      </c>
      <c r="R79">
        <f>SUM(R6:R78)</f>
        <v>722237056.8545702</v>
      </c>
      <c r="S79">
        <f>SUM(S6:S78)</f>
        <v>1312067406.3437762</v>
      </c>
      <c r="T79">
        <f>SUM(T6:T78)</f>
        <v>1545797579.0828998</v>
      </c>
      <c r="U79">
        <f>SUM(U6:U78)</f>
        <v>2337412973.3754787</v>
      </c>
      <c r="V79">
        <f>SUM(V6:V78)</f>
        <v>606850312.5784153</v>
      </c>
      <c r="W79">
        <f>SUM(W6:W78)</f>
        <v>747170210.0175636</v>
      </c>
      <c r="X79">
        <f>SUM(X6:X78)</f>
        <v>356178284.2862059</v>
      </c>
      <c r="Y79">
        <f>SUM(Y6:Y78)</f>
        <v>2725179712.2988014</v>
      </c>
      <c r="Z79">
        <f>SUM(Z6:Z78)</f>
        <v>85206288.97198918</v>
      </c>
      <c r="AA79">
        <f>SUM(AA6:AA78)</f>
        <v>511066819.1968206</v>
      </c>
      <c r="AB79">
        <f>SUM(AB6:AB78)</f>
        <v>4825169031.095346</v>
      </c>
      <c r="AC79">
        <f>SUM(AC6:AC78)</f>
        <v>967498065.3878791</v>
      </c>
      <c r="AD79">
        <f>SUM(AD6:AD78)</f>
        <v>2705688079.708001</v>
      </c>
      <c r="AE79">
        <f>SUM(AE6:AE78)</f>
        <v>2248057105.7135344</v>
      </c>
      <c r="AF79">
        <f>SUM(AF6:AF78)</f>
        <v>2647414864.166408</v>
      </c>
      <c r="AG79">
        <f>SUM(AG6:AG78)</f>
        <v>272914968.59743166</v>
      </c>
      <c r="AH79">
        <f>SUM(AH6:AH78)</f>
        <v>699402882.0849159</v>
      </c>
      <c r="AI79">
        <f>SUM(AI6:AI78)</f>
        <v>991373972.2984407</v>
      </c>
      <c r="AJ79">
        <f>SUM(AJ6:AJ78)</f>
        <v>172691715.0198917</v>
      </c>
      <c r="AK79">
        <f>SUM(AK6:AK78)</f>
        <v>1722207760.0184906</v>
      </c>
      <c r="AL79">
        <f>SUM(AL6:AL78)</f>
        <v>114964896.61219504</v>
      </c>
      <c r="AM79">
        <f>SUM(AM6:AM78)</f>
        <v>138104489.92425624</v>
      </c>
      <c r="AN79">
        <f>SUM(AN6:AN78)</f>
        <v>266256446.7313327</v>
      </c>
      <c r="AO79">
        <f>SUM(AO6:AO78)</f>
        <v>635100782.2918403</v>
      </c>
      <c r="AP79">
        <f>SUM(AP6:AP78)</f>
        <v>1056680408.5944548</v>
      </c>
      <c r="AQ79">
        <f>SUM(AQ6:AQ78)</f>
        <v>433386598.0341447</v>
      </c>
      <c r="AR79">
        <f>SUM(AR6:AR78)</f>
        <v>145192817.47837988</v>
      </c>
      <c r="AS79">
        <f>SUM(AS6:AS78)</f>
        <v>1155547772.6310327</v>
      </c>
      <c r="AT79">
        <f>SUM(AT6:AT78)</f>
        <v>939200305.2809545</v>
      </c>
      <c r="AU79">
        <f>SUM(AU6:AU78)</f>
        <v>441054481.95273584</v>
      </c>
      <c r="AV79">
        <f>SUM(AV6:AV78)</f>
        <v>387287348.3935381</v>
      </c>
      <c r="AW79">
        <f>SUM(AW6:AW78)</f>
        <v>30047802.1346573</v>
      </c>
      <c r="AX79">
        <f>SUM(AX6:AX78)</f>
        <v>231340042.7373128</v>
      </c>
      <c r="AY79">
        <f>SUM(AY6:AY78)</f>
        <v>110663102.79701155</v>
      </c>
      <c r="AZ79">
        <f>SUM(AZ6:AZ78)</f>
        <v>247388737.11632153</v>
      </c>
      <c r="BA79">
        <f>SUM(BA6:BA78)</f>
        <v>253498485.28428525</v>
      </c>
      <c r="BB79">
        <f>SUM(BB6:BB78)</f>
        <v>388641466.46317464</v>
      </c>
      <c r="BC79">
        <f>SUM(BC6:BC78)</f>
        <v>515451829.2148513</v>
      </c>
      <c r="BD79">
        <f>SUM(BD6:BD78)</f>
        <v>1799693756.2440286</v>
      </c>
      <c r="BE79">
        <f>SUM(BE6:BE78)</f>
        <v>1014677766.5841659</v>
      </c>
      <c r="BF79">
        <f>SUM(BF6:BF78)</f>
        <v>1070536368.3774636</v>
      </c>
      <c r="BG79">
        <f>SUM(BG6:BG78)</f>
        <v>72200225.97511293</v>
      </c>
      <c r="BH79">
        <f>SUM(BH6:BH78)</f>
        <v>394741297.6631871</v>
      </c>
      <c r="BI79">
        <f>SUM(BI6:BI78)</f>
        <v>127963987.70088561</v>
      </c>
      <c r="BJ79">
        <f>SUM(BJ6:BJ78)</f>
        <v>156508849.71756312</v>
      </c>
      <c r="BK79">
        <f>SUM(BK6:BK78)</f>
        <v>60130499.25839211</v>
      </c>
      <c r="BL79">
        <f>SUM(BL6:BL78)</f>
        <v>109556410.55534796</v>
      </c>
      <c r="BM79">
        <f>SUM(BM6:BM78)</f>
        <v>15703634.43914856</v>
      </c>
      <c r="BN79">
        <f>SUM(BN6:BN78)</f>
        <v>7755515400.008978</v>
      </c>
      <c r="BO79">
        <f>SUM(BO6:BO78)</f>
        <v>16659364806.72465</v>
      </c>
      <c r="BP79">
        <f>SUM(BP6:BP78)</f>
        <v>-321052811.9305103</v>
      </c>
      <c r="BQ79">
        <f>SUM(BQ6:BQ78)</f>
        <v>2997641669.8982677</v>
      </c>
      <c r="BR79">
        <f>SUM(BR6:BR78)</f>
        <v>1762053126.857001</v>
      </c>
      <c r="BS79">
        <f>SUM(BS6:BS78)</f>
        <v>24414880206.733624</v>
      </c>
      <c r="BT79">
        <f>SUM(BT6:BT78)</f>
        <v>4438641984.824759</v>
      </c>
      <c r="BU79">
        <f>SUM(BU6:BU78)</f>
        <v>9370472231.100958</v>
      </c>
      <c r="BV79">
        <f>SUM(BV6:BV78)</f>
        <v>9203376441.84259</v>
      </c>
      <c r="BW79">
        <f>SUM(BW6:BW78)</f>
        <v>137837491208.15363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L16"/>
  <sheetViews>
    <sheetView workbookViewId="0"/>
  </sheetViews>
  <sheetFormatPr defaultRowHeight="15"/>
  <sheetData>
    <row r="2" spans="1:12">
      <c r="A2" t="s">
        <v>77</v>
      </c>
    </row>
    <row r="3" spans="1:12">
      <c r="A3" t="s">
        <v>78</v>
      </c>
    </row>
    <row r="5" spans="1:12">
      <c r="A5" t="s">
        <v>2</v>
      </c>
      <c r="B5" t="s">
        <v>79</v>
      </c>
      <c r="C5" t="s">
        <v>67</v>
      </c>
      <c r="D5" t="s">
        <v>68</v>
      </c>
      <c r="E5" t="s">
        <v>69</v>
      </c>
      <c r="F5" t="s">
        <v>70</v>
      </c>
      <c r="G5" t="s">
        <v>71</v>
      </c>
      <c r="H5" t="s">
        <v>72</v>
      </c>
      <c r="I5" t="s">
        <v>73</v>
      </c>
      <c r="J5" t="s">
        <v>74</v>
      </c>
      <c r="K5" t="s">
        <v>75</v>
      </c>
      <c r="L5" t="s">
        <v>76</v>
      </c>
    </row>
    <row r="6" spans="1:12">
      <c r="A6" t="s">
        <v>79</v>
      </c>
      <c r="B6">
        <f>SUM('SAM_73'!B6:BM69)</f>
        <v>27707496957.037094</v>
      </c>
      <c r="C6">
        <f>SUM('SAM_73'!BN6:BN69)</f>
        <v>0.0</v>
      </c>
      <c r="D6">
        <f>SUM('SAM_73'!BO6:BO69)</f>
        <v>0.0</v>
      </c>
      <c r="E6">
        <f>SUM('SAM_73'!BP6:BP69)</f>
        <v>0.0</v>
      </c>
      <c r="F6">
        <f>SUM('SAM_73'!BQ6:BQ69)</f>
        <v>0.0</v>
      </c>
      <c r="G6">
        <f>SUM('SAM_73'!BR6:BR69)</f>
        <v>0.0</v>
      </c>
      <c r="H6">
        <f>SUM('SAM_73'!BS6:BS69)</f>
        <v>14642707302.152279</v>
      </c>
      <c r="I6">
        <f>SUM('SAM_73'!BT6:BT69)</f>
        <v>3488720027.242705</v>
      </c>
      <c r="J6">
        <f>SUM('SAM_73'!BU6:BU69)</f>
        <v>8418245551.26178</v>
      </c>
      <c r="K6">
        <f>SUM('SAM_73'!BV6:BV69)</f>
        <v>7299428314.399334</v>
      </c>
      <c r="L6">
        <f>SUM(B6:K6)</f>
        <v>61556598152.0932</v>
      </c>
    </row>
    <row r="7" spans="1:12">
      <c r="A7" t="s">
        <v>67</v>
      </c>
      <c r="B7">
        <f>SUM('SAM_73'!B70:BM70)</f>
        <v>7755515400.008978</v>
      </c>
      <c r="C7">
        <f>SUM('SAM_73'!BN70:BN70)</f>
        <v>0.0</v>
      </c>
      <c r="D7">
        <f>SUM('SAM_73'!BO70:BO70)</f>
        <v>0.0</v>
      </c>
      <c r="E7">
        <f>SUM('SAM_73'!BP70:BP70)</f>
        <v>0.0</v>
      </c>
      <c r="F7">
        <f>SUM('SAM_73'!BQ70:BQ70)</f>
        <v>0.0</v>
      </c>
      <c r="G7">
        <f>SUM('SAM_73'!BR70:BR70)</f>
        <v>0.0</v>
      </c>
      <c r="H7">
        <f>SUM('SAM_73'!BS70:BS70)</f>
        <v>0.0</v>
      </c>
      <c r="I7">
        <f>SUM('SAM_73'!BT70:BT70)</f>
        <v>0.0</v>
      </c>
      <c r="J7">
        <f>SUM('SAM_73'!BU70:BU70)</f>
        <v>0.0</v>
      </c>
      <c r="K7">
        <f>SUM('SAM_73'!BV70:BV70)</f>
        <v>0.0</v>
      </c>
      <c r="L7">
        <f>SUM(B7:K7)</f>
        <v>7755515400.008978</v>
      </c>
    </row>
    <row r="8" spans="1:12">
      <c r="A8" t="s">
        <v>68</v>
      </c>
      <c r="B8">
        <f>SUM('SAM_73'!B71:BM71)</f>
        <v>16659364806.72465</v>
      </c>
      <c r="C8">
        <f>SUM('SAM_73'!BN71:BN71)</f>
        <v>0.0</v>
      </c>
      <c r="D8">
        <f>SUM('SAM_73'!BO71:BO71)</f>
        <v>0.0</v>
      </c>
      <c r="E8">
        <f>SUM('SAM_73'!BP71:BP71)</f>
        <v>0.0</v>
      </c>
      <c r="F8">
        <f>SUM('SAM_73'!BQ71:BQ71)</f>
        <v>0.0</v>
      </c>
      <c r="G8">
        <f>SUM('SAM_73'!BR71:BR71)</f>
        <v>0.0</v>
      </c>
      <c r="H8">
        <f>SUM('SAM_73'!BS71:BS71)</f>
        <v>0.0</v>
      </c>
      <c r="I8">
        <f>SUM('SAM_73'!BT71:BT71)</f>
        <v>0.0</v>
      </c>
      <c r="J8">
        <f>SUM('SAM_73'!BU71:BU71)</f>
        <v>0.0</v>
      </c>
      <c r="K8">
        <f>SUM('SAM_73'!BV71:BV71)</f>
        <v>0.0</v>
      </c>
      <c r="L8">
        <f>SUM(B8:K8)</f>
        <v>16659364806.72465</v>
      </c>
    </row>
    <row r="9" spans="1:12">
      <c r="A9" t="s">
        <v>69</v>
      </c>
      <c r="B9">
        <f>SUM('SAM_73'!B72:BM72)</f>
        <v>-321052811.9305103</v>
      </c>
      <c r="C9">
        <f>SUM('SAM_73'!BN72:BN72)</f>
        <v>0.0</v>
      </c>
      <c r="D9">
        <f>SUM('SAM_73'!BO72:BO72)</f>
        <v>0.0</v>
      </c>
      <c r="E9">
        <f>SUM('SAM_73'!BP72:BP72)</f>
        <v>0.0</v>
      </c>
      <c r="F9">
        <f>SUM('SAM_73'!BQ72:BQ72)</f>
        <v>0.0</v>
      </c>
      <c r="G9">
        <f>SUM('SAM_73'!BR72:BR72)</f>
        <v>0.0</v>
      </c>
      <c r="H9">
        <f>SUM('SAM_73'!BS72:BS72)</f>
        <v>0.0</v>
      </c>
      <c r="I9">
        <f>SUM('SAM_73'!BT72:BT72)</f>
        <v>0.0</v>
      </c>
      <c r="J9">
        <f>SUM('SAM_73'!BU72:BU72)</f>
        <v>0.0</v>
      </c>
      <c r="K9">
        <f>SUM('SAM_73'!BV72:BV72)</f>
        <v>0.0</v>
      </c>
      <c r="L9">
        <f>SUM(B9:K9)</f>
        <v>-321052811.9305103</v>
      </c>
    </row>
    <row r="10" spans="1:12">
      <c r="A10" t="s">
        <v>70</v>
      </c>
      <c r="B10">
        <f>SUM('SAM_73'!B73:BM73)</f>
        <v>551897358.410486</v>
      </c>
      <c r="C10">
        <f>SUM('SAM_73'!BN73:BN73)</f>
        <v>0.0</v>
      </c>
      <c r="D10">
        <f>SUM('SAM_73'!BO73:BO73)</f>
        <v>0.0</v>
      </c>
      <c r="E10">
        <f>SUM('SAM_73'!BP73:BP73)</f>
        <v>0.0</v>
      </c>
      <c r="F10">
        <f>SUM('SAM_73'!BQ73:BQ73)</f>
        <v>0.0</v>
      </c>
      <c r="G10">
        <f>SUM('SAM_73'!BR73:BR73)</f>
        <v>0.0</v>
      </c>
      <c r="H10">
        <f>SUM('SAM_73'!BS73:BS73)</f>
        <v>1396394534.764736</v>
      </c>
      <c r="I10">
        <f>SUM('SAM_73'!BT73:BT73)</f>
        <v>97123096.88386586</v>
      </c>
      <c r="J10">
        <f>SUM('SAM_73'!BU73:BU73)</f>
        <v>952226679.8391796</v>
      </c>
      <c r="K10">
        <f>SUM('SAM_73'!BV73:BV73)</f>
        <v>0.0</v>
      </c>
      <c r="L10">
        <f>SUM(B10:K10)</f>
        <v>2997641669.8982673</v>
      </c>
    </row>
    <row r="11" spans="1:12">
      <c r="A11" t="s">
        <v>71</v>
      </c>
      <c r="B11">
        <f>SUM('SAM_73'!B74:BM74)</f>
        <v>0.0</v>
      </c>
      <c r="C11">
        <f>SUM('SAM_73'!BN74:BN74)</f>
        <v>0.0</v>
      </c>
      <c r="D11">
        <f>SUM('SAM_73'!BO74:BO74)</f>
        <v>0.0</v>
      </c>
      <c r="E11">
        <f>SUM('SAM_73'!BP74:BP74)</f>
        <v>0.0</v>
      </c>
      <c r="F11">
        <f>SUM('SAM_73'!BQ74:BQ74)</f>
        <v>0.0</v>
      </c>
      <c r="G11">
        <f>SUM('SAM_73'!BR74:BR74)</f>
        <v>0.0</v>
      </c>
      <c r="H11">
        <f>SUM('SAM_73'!BS74:BS74)</f>
        <v>1762053126.857001</v>
      </c>
      <c r="I11">
        <f>SUM('SAM_73'!BT74:BT74)</f>
        <v>0.0</v>
      </c>
      <c r="J11">
        <f>SUM('SAM_73'!BU74:BU74)</f>
        <v>0.0</v>
      </c>
      <c r="K11">
        <f>SUM('SAM_73'!BV74:BV74)</f>
        <v>0.0</v>
      </c>
      <c r="L11">
        <f>SUM(B11:K11)</f>
        <v>1762053126.857001</v>
      </c>
    </row>
    <row r="12" spans="1:12">
      <c r="A12" t="s">
        <v>72</v>
      </c>
      <c r="B12">
        <f>SUM('SAM_73'!B75:BM75)</f>
        <v>0.0</v>
      </c>
      <c r="C12">
        <f>SUM('SAM_73'!BN75:BN75)</f>
        <v>7755515400.008978</v>
      </c>
      <c r="D12">
        <f>SUM('SAM_73'!BO75:BO75)</f>
        <v>16659364806.72465</v>
      </c>
      <c r="E12">
        <f>SUM('SAM_73'!BP75:BP75)</f>
        <v>0.0</v>
      </c>
      <c r="F12">
        <f>SUM('SAM_73'!BQ75:BQ75)</f>
        <v>0.0</v>
      </c>
      <c r="G12">
        <f>SUM('SAM_73'!BR75:BR75)</f>
        <v>0.0</v>
      </c>
      <c r="H12">
        <f>SUM('SAM_73'!BS75:BS75)</f>
        <v>0.0</v>
      </c>
      <c r="I12">
        <f>SUM('SAM_73'!BT75:BT75)</f>
        <v>0.0</v>
      </c>
      <c r="J12">
        <f>SUM('SAM_73'!BU75:BU75)</f>
        <v>0.0</v>
      </c>
      <c r="K12">
        <f>SUM('SAM_73'!BV75:BV75)</f>
        <v>0.0</v>
      </c>
      <c r="L12">
        <f>SUM(B12:K12)</f>
        <v>24414880206.733627</v>
      </c>
    </row>
    <row r="13" spans="1:12">
      <c r="A13" t="s">
        <v>73</v>
      </c>
      <c r="B13">
        <f>SUM('SAM_73'!B76:BM76)</f>
        <v>0.0</v>
      </c>
      <c r="C13">
        <f>SUM('SAM_73'!BN76:BN76)</f>
        <v>0.0</v>
      </c>
      <c r="D13">
        <f>SUM('SAM_73'!BO76:BO76)</f>
        <v>0.0</v>
      </c>
      <c r="E13">
        <f>SUM('SAM_73'!BP76:BP76)</f>
        <v>-321052811.9305103</v>
      </c>
      <c r="F13">
        <f>SUM('SAM_73'!BQ76:BQ76)</f>
        <v>2997641669.8982677</v>
      </c>
      <c r="G13">
        <f>SUM('SAM_73'!BR76:BR76)</f>
        <v>1762053126.857001</v>
      </c>
      <c r="H13">
        <f>SUM('SAM_73'!BS76:BS76)</f>
        <v>0.0</v>
      </c>
      <c r="I13">
        <f>SUM('SAM_73'!BT76:BT76)</f>
        <v>0.0</v>
      </c>
      <c r="J13">
        <f>SUM('SAM_73'!BU76:BU76)</f>
        <v>0.0</v>
      </c>
      <c r="K13">
        <f>SUM('SAM_73'!BV76:BV76)</f>
        <v>0.0</v>
      </c>
      <c r="L13">
        <f>SUM(B13:K13)</f>
        <v>4438641984.824759</v>
      </c>
    </row>
    <row r="14" spans="1:12">
      <c r="A14" t="s">
        <v>74</v>
      </c>
      <c r="B14">
        <f>SUM('SAM_73'!B77:BM77)</f>
        <v>0.0</v>
      </c>
      <c r="C14">
        <f>SUM('SAM_73'!BN77:BN77)</f>
        <v>0.0</v>
      </c>
      <c r="D14">
        <f>SUM('SAM_73'!BO77:BO77)</f>
        <v>0.0</v>
      </c>
      <c r="E14">
        <f>SUM('SAM_73'!BP77:BP77)</f>
        <v>0.0</v>
      </c>
      <c r="F14">
        <f>SUM('SAM_73'!BQ77:BQ77)</f>
        <v>0.0</v>
      </c>
      <c r="G14">
        <f>SUM('SAM_73'!BR77:BR77)</f>
        <v>0.0</v>
      </c>
      <c r="H14">
        <f>SUM('SAM_73'!BS77:BS77)</f>
        <v>6613725242.95961</v>
      </c>
      <c r="I14">
        <f>SUM('SAM_73'!BT77:BT77)</f>
        <v>852798860.6981878</v>
      </c>
      <c r="J14">
        <f>SUM('SAM_73'!BU77:BU77)</f>
        <v>0.0</v>
      </c>
      <c r="K14">
        <f>SUM('SAM_73'!BV77:BV77)</f>
        <v>1903948127.4432564</v>
      </c>
      <c r="L14">
        <f>SUM(B14:K14)</f>
        <v>9370472231.101055</v>
      </c>
    </row>
    <row r="15" spans="1:12">
      <c r="A15" t="s">
        <v>75</v>
      </c>
      <c r="B15">
        <f>SUM('SAM_73'!B78:BM78)</f>
        <v>9203376441.84259</v>
      </c>
      <c r="C15">
        <f>SUM('SAM_73'!BN78:BN78)</f>
        <v>0.0</v>
      </c>
      <c r="D15">
        <f>SUM('SAM_73'!BO78:BO78)</f>
        <v>0.0</v>
      </c>
      <c r="E15">
        <f>SUM('SAM_73'!BP78:BP78)</f>
        <v>0.0</v>
      </c>
      <c r="F15">
        <f>SUM('SAM_73'!BQ78:BQ78)</f>
        <v>0.0</v>
      </c>
      <c r="G15">
        <f>SUM('SAM_73'!BR78:BR78)</f>
        <v>0.0</v>
      </c>
      <c r="H15">
        <f>SUM('SAM_73'!BS78:BS78)</f>
        <v>0.0</v>
      </c>
      <c r="I15">
        <f>SUM('SAM_73'!BT78:BT78)</f>
        <v>0.0</v>
      </c>
      <c r="J15">
        <f>SUM('SAM_73'!BU78:BU78)</f>
        <v>0.0</v>
      </c>
      <c r="K15">
        <f>SUM('SAM_73'!BV78:BV78)</f>
        <v>0.0</v>
      </c>
      <c r="L15">
        <f>SUM(B15:K15)</f>
        <v>9203376441.84259</v>
      </c>
    </row>
    <row r="16" spans="1:12">
      <c r="A16" t="s">
        <v>76</v>
      </c>
      <c r="B16">
        <f>SUM(B6:B15)</f>
        <v>61556598152.093285</v>
      </c>
      <c r="C16">
        <f>SUM(C6:C15)</f>
        <v>7755515400.008978</v>
      </c>
      <c r="D16">
        <f>SUM(D6:D15)</f>
        <v>16659364806.72465</v>
      </c>
      <c r="E16">
        <f>SUM(E6:E15)</f>
        <v>-321052811.9305103</v>
      </c>
      <c r="F16">
        <f>SUM(F6:F15)</f>
        <v>2997641669.8982677</v>
      </c>
      <c r="G16">
        <f>SUM(G6:G15)</f>
        <v>1762053126.857001</v>
      </c>
      <c r="H16">
        <f>SUM(H6:H15)</f>
        <v>24414880206.733627</v>
      </c>
      <c r="I16">
        <f>SUM(I6:I15)</f>
        <v>4438641984.824759</v>
      </c>
      <c r="J16">
        <f>SUM(J6:J15)</f>
        <v>9370472231.10096</v>
      </c>
      <c r="K16">
        <f>SUM(K6:K15)</f>
        <v>9203376441.84259</v>
      </c>
      <c r="L16">
        <f>SUM(B16:K16)</f>
        <v>137837491208.1536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F78"/>
  <sheetViews>
    <sheetView workbookViewId="0"/>
  </sheetViews>
  <sheetFormatPr defaultRowHeight="15"/>
  <sheetData>
    <row r="2" spans="1:6">
      <c r="A2" t="s">
        <v>80</v>
      </c>
    </row>
    <row r="3" spans="1:6">
      <c r="A3" t="s">
        <v>81</v>
      </c>
    </row>
    <row r="5" spans="1:6">
      <c r="A5" t="s">
        <v>2</v>
      </c>
      <c r="B5" t="s">
        <v>82</v>
      </c>
      <c r="C5" t="s">
        <v>83</v>
      </c>
      <c r="D5" t="s">
        <v>84</v>
      </c>
      <c r="E5" t="s">
        <v>85</v>
      </c>
      <c r="F5" t="s">
        <v>86</v>
      </c>
    </row>
    <row r="6" spans="1:6">
      <c r="A6" t="s">
        <v>3</v>
      </c>
      <c r="B6">
        <v>0</v>
      </c>
      <c r="C6" t="s">
        <v>87</v>
      </c>
      <c r="D6" t="s">
        <v>88</v>
      </c>
      <c r="E6" t="s">
        <v>89</v>
      </c>
      <c r="F6" t="s">
        <v>90</v>
      </c>
    </row>
    <row r="7" spans="1:6">
      <c r="A7" t="s">
        <v>4</v>
      </c>
      <c r="B7">
        <v>1</v>
      </c>
      <c r="C7" t="s">
        <v>91</v>
      </c>
      <c r="D7" t="s">
        <v>92</v>
      </c>
      <c r="E7" t="s">
        <v>89</v>
      </c>
      <c r="F7" t="s">
        <v>90</v>
      </c>
    </row>
    <row r="8" spans="1:6">
      <c r="A8" t="s">
        <v>5</v>
      </c>
      <c r="B8">
        <v>2</v>
      </c>
      <c r="C8" t="s">
        <v>93</v>
      </c>
      <c r="D8" t="s">
        <v>94</v>
      </c>
      <c r="E8" t="s">
        <v>89</v>
      </c>
      <c r="F8" t="s">
        <v>90</v>
      </c>
    </row>
    <row r="9" spans="1:6">
      <c r="A9" t="s">
        <v>6</v>
      </c>
      <c r="B9">
        <v>3</v>
      </c>
      <c r="C9" t="s">
        <v>95</v>
      </c>
      <c r="D9" t="s">
        <v>96</v>
      </c>
      <c r="E9" t="s">
        <v>89</v>
      </c>
      <c r="F9" t="s">
        <v>90</v>
      </c>
    </row>
    <row r="10" spans="1:6">
      <c r="A10" t="s">
        <v>7</v>
      </c>
      <c r="B10">
        <v>4</v>
      </c>
      <c r="C10" t="s">
        <v>97</v>
      </c>
      <c r="D10" t="s">
        <v>98</v>
      </c>
      <c r="E10" t="s">
        <v>89</v>
      </c>
      <c r="F10" t="s">
        <v>90</v>
      </c>
    </row>
    <row r="11" spans="1:6">
      <c r="A11" t="s">
        <v>8</v>
      </c>
      <c r="B11">
        <v>5</v>
      </c>
      <c r="C11" t="s">
        <v>99</v>
      </c>
      <c r="D11" t="s">
        <v>100</v>
      </c>
      <c r="E11" t="s">
        <v>89</v>
      </c>
      <c r="F11" t="s">
        <v>90</v>
      </c>
    </row>
    <row r="12" spans="1:6">
      <c r="A12" t="s">
        <v>9</v>
      </c>
      <c r="B12">
        <v>6</v>
      </c>
      <c r="C12" t="s">
        <v>101</v>
      </c>
      <c r="D12" t="s">
        <v>102</v>
      </c>
      <c r="E12" t="s">
        <v>89</v>
      </c>
      <c r="F12" t="s">
        <v>90</v>
      </c>
    </row>
    <row r="13" spans="1:6">
      <c r="A13" t="s">
        <v>10</v>
      </c>
      <c r="B13">
        <v>7</v>
      </c>
      <c r="C13" t="s">
        <v>103</v>
      </c>
      <c r="D13" t="s">
        <v>104</v>
      </c>
      <c r="E13" t="s">
        <v>89</v>
      </c>
      <c r="F13" t="s">
        <v>90</v>
      </c>
    </row>
    <row r="14" spans="1:6">
      <c r="A14" t="s">
        <v>11</v>
      </c>
      <c r="B14">
        <v>8</v>
      </c>
      <c r="C14" t="s">
        <v>105</v>
      </c>
      <c r="D14" t="s">
        <v>106</v>
      </c>
      <c r="E14" t="s">
        <v>89</v>
      </c>
      <c r="F14" t="s">
        <v>90</v>
      </c>
    </row>
    <row r="15" spans="1:6">
      <c r="A15" t="s">
        <v>12</v>
      </c>
      <c r="B15">
        <v>9</v>
      </c>
      <c r="C15" t="s">
        <v>107</v>
      </c>
      <c r="D15" t="s">
        <v>108</v>
      </c>
      <c r="E15" t="s">
        <v>89</v>
      </c>
      <c r="F15" t="s">
        <v>90</v>
      </c>
    </row>
    <row r="16" spans="1:6">
      <c r="A16" t="s">
        <v>13</v>
      </c>
      <c r="B16">
        <v>10</v>
      </c>
      <c r="C16" t="s">
        <v>109</v>
      </c>
      <c r="D16" t="s">
        <v>110</v>
      </c>
      <c r="E16" t="s">
        <v>89</v>
      </c>
      <c r="F16" t="s">
        <v>90</v>
      </c>
    </row>
    <row r="17" spans="1:6">
      <c r="A17" t="s">
        <v>14</v>
      </c>
      <c r="B17">
        <v>11</v>
      </c>
      <c r="C17" t="s">
        <v>111</v>
      </c>
      <c r="D17" t="s">
        <v>112</v>
      </c>
      <c r="E17" t="s">
        <v>89</v>
      </c>
      <c r="F17" t="s">
        <v>90</v>
      </c>
    </row>
    <row r="18" spans="1:6">
      <c r="A18" t="s">
        <v>15</v>
      </c>
      <c r="B18">
        <v>12</v>
      </c>
      <c r="C18" t="s">
        <v>113</v>
      </c>
      <c r="D18" t="s">
        <v>114</v>
      </c>
      <c r="E18" t="s">
        <v>89</v>
      </c>
      <c r="F18" t="s">
        <v>90</v>
      </c>
    </row>
    <row r="19" spans="1:6">
      <c r="A19" t="s">
        <v>16</v>
      </c>
      <c r="B19">
        <v>13</v>
      </c>
      <c r="C19" t="s">
        <v>115</v>
      </c>
      <c r="D19" t="s">
        <v>116</v>
      </c>
      <c r="E19" t="s">
        <v>89</v>
      </c>
      <c r="F19" t="s">
        <v>90</v>
      </c>
    </row>
    <row r="20" spans="1:6">
      <c r="A20" t="s">
        <v>17</v>
      </c>
      <c r="B20">
        <v>14</v>
      </c>
      <c r="C20" t="s">
        <v>117</v>
      </c>
      <c r="D20" t="s">
        <v>118</v>
      </c>
      <c r="E20" t="s">
        <v>89</v>
      </c>
      <c r="F20" t="s">
        <v>90</v>
      </c>
    </row>
    <row r="21" spans="1:6">
      <c r="A21" t="s">
        <v>18</v>
      </c>
      <c r="B21">
        <v>15</v>
      </c>
      <c r="C21" t="s">
        <v>119</v>
      </c>
      <c r="D21" t="s">
        <v>120</v>
      </c>
      <c r="E21" t="s">
        <v>89</v>
      </c>
      <c r="F21" t="s">
        <v>90</v>
      </c>
    </row>
    <row r="22" spans="1:6">
      <c r="A22" t="s">
        <v>19</v>
      </c>
      <c r="B22">
        <v>16</v>
      </c>
      <c r="C22" t="s">
        <v>121</v>
      </c>
      <c r="D22" t="s">
        <v>122</v>
      </c>
      <c r="E22" t="s">
        <v>89</v>
      </c>
      <c r="F22" t="s">
        <v>90</v>
      </c>
    </row>
    <row r="23" spans="1:6">
      <c r="A23" t="s">
        <v>20</v>
      </c>
      <c r="B23">
        <v>17</v>
      </c>
      <c r="C23" t="s">
        <v>123</v>
      </c>
      <c r="D23" t="s">
        <v>124</v>
      </c>
      <c r="E23" t="s">
        <v>89</v>
      </c>
      <c r="F23" t="s">
        <v>90</v>
      </c>
    </row>
    <row r="24" spans="1:6">
      <c r="A24" t="s">
        <v>21</v>
      </c>
      <c r="B24">
        <v>18</v>
      </c>
      <c r="C24" t="s">
        <v>125</v>
      </c>
      <c r="D24" t="s">
        <v>126</v>
      </c>
      <c r="E24" t="s">
        <v>89</v>
      </c>
      <c r="F24" t="s">
        <v>90</v>
      </c>
    </row>
    <row r="25" spans="1:6">
      <c r="A25" t="s">
        <v>22</v>
      </c>
      <c r="B25">
        <v>19</v>
      </c>
      <c r="C25" t="s">
        <v>127</v>
      </c>
      <c r="D25" t="s">
        <v>128</v>
      </c>
      <c r="E25" t="s">
        <v>89</v>
      </c>
      <c r="F25" t="s">
        <v>90</v>
      </c>
    </row>
    <row r="26" spans="1:6">
      <c r="A26" t="s">
        <v>23</v>
      </c>
      <c r="B26">
        <v>20</v>
      </c>
      <c r="C26" t="s">
        <v>129</v>
      </c>
      <c r="D26" t="s">
        <v>130</v>
      </c>
      <c r="E26" t="s">
        <v>89</v>
      </c>
      <c r="F26" t="s">
        <v>90</v>
      </c>
    </row>
    <row r="27" spans="1:6">
      <c r="A27" t="s">
        <v>24</v>
      </c>
      <c r="B27">
        <v>21</v>
      </c>
      <c r="C27" t="s">
        <v>131</v>
      </c>
      <c r="D27" t="s">
        <v>132</v>
      </c>
      <c r="E27" t="s">
        <v>89</v>
      </c>
      <c r="F27" t="s">
        <v>90</v>
      </c>
    </row>
    <row r="28" spans="1:6">
      <c r="A28" t="s">
        <v>25</v>
      </c>
      <c r="B28">
        <v>22</v>
      </c>
      <c r="C28" t="s">
        <v>133</v>
      </c>
      <c r="D28" t="s">
        <v>134</v>
      </c>
      <c r="E28" t="s">
        <v>89</v>
      </c>
      <c r="F28" t="s">
        <v>90</v>
      </c>
    </row>
    <row r="29" spans="1:6">
      <c r="A29" t="s">
        <v>26</v>
      </c>
      <c r="B29">
        <v>23</v>
      </c>
      <c r="C29" t="s">
        <v>135</v>
      </c>
      <c r="D29" t="s">
        <v>136</v>
      </c>
      <c r="E29" t="s">
        <v>89</v>
      </c>
      <c r="F29" t="s">
        <v>90</v>
      </c>
    </row>
    <row r="30" spans="1:6">
      <c r="A30" t="s">
        <v>27</v>
      </c>
      <c r="B30">
        <v>24</v>
      </c>
      <c r="C30" t="s">
        <v>137</v>
      </c>
      <c r="D30" t="s">
        <v>138</v>
      </c>
      <c r="E30" t="s">
        <v>89</v>
      </c>
      <c r="F30" t="s">
        <v>90</v>
      </c>
    </row>
    <row r="31" spans="1:6">
      <c r="A31" t="s">
        <v>28</v>
      </c>
      <c r="B31">
        <v>25</v>
      </c>
      <c r="C31" t="s">
        <v>139</v>
      </c>
      <c r="D31" t="s">
        <v>140</v>
      </c>
      <c r="E31" t="s">
        <v>89</v>
      </c>
      <c r="F31" t="s">
        <v>90</v>
      </c>
    </row>
    <row r="32" spans="1:6">
      <c r="A32" t="s">
        <v>29</v>
      </c>
      <c r="B32">
        <v>26</v>
      </c>
      <c r="C32" t="s">
        <v>141</v>
      </c>
      <c r="D32" t="s">
        <v>142</v>
      </c>
      <c r="E32" t="s">
        <v>89</v>
      </c>
      <c r="F32" t="s">
        <v>90</v>
      </c>
    </row>
    <row r="33" spans="1:6">
      <c r="A33" t="s">
        <v>30</v>
      </c>
      <c r="B33">
        <v>27</v>
      </c>
      <c r="C33" t="s">
        <v>143</v>
      </c>
      <c r="D33" t="s">
        <v>144</v>
      </c>
      <c r="E33" t="s">
        <v>89</v>
      </c>
      <c r="F33" t="s">
        <v>90</v>
      </c>
    </row>
    <row r="34" spans="1:6">
      <c r="A34" t="s">
        <v>31</v>
      </c>
      <c r="B34">
        <v>28</v>
      </c>
      <c r="C34" t="s">
        <v>145</v>
      </c>
      <c r="D34" t="s">
        <v>146</v>
      </c>
      <c r="E34" t="s">
        <v>89</v>
      </c>
      <c r="F34" t="s">
        <v>90</v>
      </c>
    </row>
    <row r="35" spans="1:6">
      <c r="A35" t="s">
        <v>32</v>
      </c>
      <c r="B35">
        <v>29</v>
      </c>
      <c r="C35" t="s">
        <v>147</v>
      </c>
      <c r="D35" t="s">
        <v>148</v>
      </c>
      <c r="E35" t="s">
        <v>89</v>
      </c>
      <c r="F35" t="s">
        <v>90</v>
      </c>
    </row>
    <row r="36" spans="1:6">
      <c r="A36" t="s">
        <v>33</v>
      </c>
      <c r="B36">
        <v>30</v>
      </c>
      <c r="C36" t="s">
        <v>149</v>
      </c>
      <c r="D36" t="s">
        <v>150</v>
      </c>
      <c r="E36" t="s">
        <v>89</v>
      </c>
      <c r="F36" t="s">
        <v>90</v>
      </c>
    </row>
    <row r="37" spans="1:6">
      <c r="A37" t="s">
        <v>34</v>
      </c>
      <c r="B37">
        <v>31</v>
      </c>
      <c r="C37" t="s">
        <v>151</v>
      </c>
      <c r="D37" t="s">
        <v>152</v>
      </c>
      <c r="E37" t="s">
        <v>89</v>
      </c>
      <c r="F37" t="s">
        <v>90</v>
      </c>
    </row>
    <row r="38" spans="1:6">
      <c r="A38" t="s">
        <v>35</v>
      </c>
      <c r="B38">
        <v>32</v>
      </c>
      <c r="C38" t="s">
        <v>153</v>
      </c>
      <c r="D38" t="s">
        <v>154</v>
      </c>
      <c r="E38" t="s">
        <v>89</v>
      </c>
      <c r="F38" t="s">
        <v>90</v>
      </c>
    </row>
    <row r="39" spans="1:6">
      <c r="A39" t="s">
        <v>36</v>
      </c>
      <c r="B39">
        <v>33</v>
      </c>
      <c r="C39" t="s">
        <v>155</v>
      </c>
      <c r="D39" t="s">
        <v>156</v>
      </c>
      <c r="E39" t="s">
        <v>89</v>
      </c>
      <c r="F39" t="s">
        <v>90</v>
      </c>
    </row>
    <row r="40" spans="1:6">
      <c r="A40" t="s">
        <v>37</v>
      </c>
      <c r="B40">
        <v>34</v>
      </c>
      <c r="C40" t="s">
        <v>157</v>
      </c>
      <c r="D40" t="s">
        <v>158</v>
      </c>
      <c r="E40" t="s">
        <v>89</v>
      </c>
      <c r="F40" t="s">
        <v>90</v>
      </c>
    </row>
    <row r="41" spans="1:6">
      <c r="A41" t="s">
        <v>38</v>
      </c>
      <c r="B41">
        <v>35</v>
      </c>
      <c r="C41" t="s">
        <v>159</v>
      </c>
      <c r="D41" t="s">
        <v>160</v>
      </c>
      <c r="E41" t="s">
        <v>89</v>
      </c>
      <c r="F41" t="s">
        <v>90</v>
      </c>
    </row>
    <row r="42" spans="1:6">
      <c r="A42" t="s">
        <v>39</v>
      </c>
      <c r="B42">
        <v>36</v>
      </c>
      <c r="C42" t="s">
        <v>161</v>
      </c>
      <c r="D42" t="s">
        <v>162</v>
      </c>
      <c r="E42" t="s">
        <v>89</v>
      </c>
      <c r="F42" t="s">
        <v>90</v>
      </c>
    </row>
    <row r="43" spans="1:6">
      <c r="A43" t="s">
        <v>40</v>
      </c>
      <c r="B43">
        <v>37</v>
      </c>
      <c r="C43" t="s">
        <v>163</v>
      </c>
      <c r="D43" t="s">
        <v>164</v>
      </c>
      <c r="E43" t="s">
        <v>89</v>
      </c>
      <c r="F43" t="s">
        <v>90</v>
      </c>
    </row>
    <row r="44" spans="1:6">
      <c r="A44" t="s">
        <v>41</v>
      </c>
      <c r="B44">
        <v>38</v>
      </c>
      <c r="C44" t="s">
        <v>165</v>
      </c>
      <c r="D44" t="s">
        <v>166</v>
      </c>
      <c r="E44" t="s">
        <v>89</v>
      </c>
      <c r="F44" t="s">
        <v>90</v>
      </c>
    </row>
    <row r="45" spans="1:6">
      <c r="A45" t="s">
        <v>42</v>
      </c>
      <c r="B45">
        <v>39</v>
      </c>
      <c r="C45" t="s">
        <v>167</v>
      </c>
      <c r="D45" t="s">
        <v>168</v>
      </c>
      <c r="E45" t="s">
        <v>89</v>
      </c>
      <c r="F45" t="s">
        <v>90</v>
      </c>
    </row>
    <row r="46" spans="1:6">
      <c r="A46" t="s">
        <v>43</v>
      </c>
      <c r="B46">
        <v>40</v>
      </c>
      <c r="C46" t="s">
        <v>169</v>
      </c>
      <c r="D46" t="s">
        <v>170</v>
      </c>
      <c r="E46" t="s">
        <v>89</v>
      </c>
      <c r="F46" t="s">
        <v>90</v>
      </c>
    </row>
    <row r="47" spans="1:6">
      <c r="A47" t="s">
        <v>44</v>
      </c>
      <c r="B47">
        <v>41</v>
      </c>
      <c r="C47" t="s">
        <v>171</v>
      </c>
      <c r="D47" t="s">
        <v>172</v>
      </c>
      <c r="E47" t="s">
        <v>89</v>
      </c>
      <c r="F47" t="s">
        <v>90</v>
      </c>
    </row>
    <row r="48" spans="1:6">
      <c r="A48" t="s">
        <v>45</v>
      </c>
      <c r="B48">
        <v>42</v>
      </c>
      <c r="C48" t="s">
        <v>173</v>
      </c>
      <c r="D48" t="s">
        <v>174</v>
      </c>
      <c r="E48" t="s">
        <v>89</v>
      </c>
      <c r="F48" t="s">
        <v>90</v>
      </c>
    </row>
    <row r="49" spans="1:6">
      <c r="A49" t="s">
        <v>46</v>
      </c>
      <c r="B49">
        <v>43</v>
      </c>
      <c r="C49" t="s">
        <v>175</v>
      </c>
      <c r="D49" t="s">
        <v>176</v>
      </c>
      <c r="E49" t="s">
        <v>89</v>
      </c>
      <c r="F49" t="s">
        <v>90</v>
      </c>
    </row>
    <row r="50" spans="1:6">
      <c r="A50" t="s">
        <v>47</v>
      </c>
      <c r="B50">
        <v>44</v>
      </c>
      <c r="C50" t="s">
        <v>177</v>
      </c>
      <c r="D50" t="s">
        <v>178</v>
      </c>
      <c r="E50" t="s">
        <v>89</v>
      </c>
      <c r="F50" t="s">
        <v>90</v>
      </c>
    </row>
    <row r="51" spans="1:6">
      <c r="A51" t="s">
        <v>48</v>
      </c>
      <c r="B51">
        <v>45</v>
      </c>
      <c r="C51" t="s">
        <v>179</v>
      </c>
      <c r="D51" t="s">
        <v>180</v>
      </c>
      <c r="E51" t="s">
        <v>89</v>
      </c>
      <c r="F51" t="s">
        <v>90</v>
      </c>
    </row>
    <row r="52" spans="1:6">
      <c r="A52" t="s">
        <v>49</v>
      </c>
      <c r="B52">
        <v>46</v>
      </c>
      <c r="C52" t="s">
        <v>181</v>
      </c>
      <c r="D52" t="s">
        <v>182</v>
      </c>
      <c r="E52" t="s">
        <v>89</v>
      </c>
      <c r="F52" t="s">
        <v>90</v>
      </c>
    </row>
    <row r="53" spans="1:6">
      <c r="A53" t="s">
        <v>50</v>
      </c>
      <c r="B53">
        <v>47</v>
      </c>
      <c r="C53" t="s">
        <v>183</v>
      </c>
      <c r="D53" t="s">
        <v>184</v>
      </c>
      <c r="E53" t="s">
        <v>89</v>
      </c>
      <c r="F53" t="s">
        <v>90</v>
      </c>
    </row>
    <row r="54" spans="1:6">
      <c r="A54" t="s">
        <v>51</v>
      </c>
      <c r="B54">
        <v>48</v>
      </c>
      <c r="C54" t="s">
        <v>185</v>
      </c>
      <c r="D54" t="s">
        <v>186</v>
      </c>
      <c r="E54" t="s">
        <v>89</v>
      </c>
      <c r="F54" t="s">
        <v>90</v>
      </c>
    </row>
    <row r="55" spans="1:6">
      <c r="A55" t="s">
        <v>52</v>
      </c>
      <c r="B55">
        <v>49</v>
      </c>
      <c r="C55" t="s">
        <v>187</v>
      </c>
      <c r="D55" t="s">
        <v>188</v>
      </c>
      <c r="E55" t="s">
        <v>89</v>
      </c>
      <c r="F55" t="s">
        <v>90</v>
      </c>
    </row>
    <row r="56" spans="1:6">
      <c r="A56" t="s">
        <v>53</v>
      </c>
      <c r="B56">
        <v>50</v>
      </c>
      <c r="C56" t="s">
        <v>189</v>
      </c>
      <c r="D56" t="s">
        <v>190</v>
      </c>
      <c r="E56" t="s">
        <v>89</v>
      </c>
      <c r="F56" t="s">
        <v>90</v>
      </c>
    </row>
    <row r="57" spans="1:6">
      <c r="A57" t="s">
        <v>54</v>
      </c>
      <c r="B57">
        <v>51</v>
      </c>
      <c r="C57" t="s">
        <v>191</v>
      </c>
      <c r="D57" t="s">
        <v>192</v>
      </c>
      <c r="E57" t="s">
        <v>89</v>
      </c>
      <c r="F57" t="s">
        <v>90</v>
      </c>
    </row>
    <row r="58" spans="1:6">
      <c r="A58" t="s">
        <v>55</v>
      </c>
      <c r="B58">
        <v>52</v>
      </c>
      <c r="C58" t="s">
        <v>193</v>
      </c>
      <c r="D58" t="s">
        <v>194</v>
      </c>
      <c r="E58" t="s">
        <v>89</v>
      </c>
      <c r="F58" t="s">
        <v>90</v>
      </c>
    </row>
    <row r="59" spans="1:6">
      <c r="A59" t="s">
        <v>56</v>
      </c>
      <c r="B59">
        <v>53</v>
      </c>
      <c r="C59" t="s">
        <v>195</v>
      </c>
      <c r="D59" t="s">
        <v>196</v>
      </c>
      <c r="E59" t="s">
        <v>89</v>
      </c>
      <c r="F59" t="s">
        <v>90</v>
      </c>
    </row>
    <row r="60" spans="1:6">
      <c r="A60" t="s">
        <v>57</v>
      </c>
      <c r="B60">
        <v>54</v>
      </c>
      <c r="C60" t="s">
        <v>197</v>
      </c>
      <c r="D60" t="s">
        <v>198</v>
      </c>
      <c r="E60" t="s">
        <v>89</v>
      </c>
      <c r="F60" t="s">
        <v>90</v>
      </c>
    </row>
    <row r="61" spans="1:6">
      <c r="A61" t="s">
        <v>58</v>
      </c>
      <c r="B61">
        <v>55</v>
      </c>
      <c r="C61" t="s">
        <v>199</v>
      </c>
      <c r="D61" t="s">
        <v>200</v>
      </c>
      <c r="E61" t="s">
        <v>89</v>
      </c>
      <c r="F61" t="s">
        <v>90</v>
      </c>
    </row>
    <row r="62" spans="1:6">
      <c r="A62" t="s">
        <v>59</v>
      </c>
      <c r="B62">
        <v>56</v>
      </c>
      <c r="C62" t="s">
        <v>201</v>
      </c>
      <c r="D62" t="s">
        <v>202</v>
      </c>
      <c r="E62" t="s">
        <v>89</v>
      </c>
      <c r="F62" t="s">
        <v>90</v>
      </c>
    </row>
    <row r="63" spans="1:6">
      <c r="A63" t="s">
        <v>60</v>
      </c>
      <c r="B63">
        <v>57</v>
      </c>
      <c r="C63" t="s">
        <v>203</v>
      </c>
      <c r="D63" t="s">
        <v>204</v>
      </c>
      <c r="E63" t="s">
        <v>89</v>
      </c>
      <c r="F63" t="s">
        <v>90</v>
      </c>
    </row>
    <row r="64" spans="1:6">
      <c r="A64" t="s">
        <v>61</v>
      </c>
      <c r="B64">
        <v>58</v>
      </c>
      <c r="C64" t="s">
        <v>205</v>
      </c>
      <c r="D64" t="s">
        <v>206</v>
      </c>
      <c r="E64" t="s">
        <v>89</v>
      </c>
      <c r="F64" t="s">
        <v>90</v>
      </c>
    </row>
    <row r="65" spans="1:6">
      <c r="A65" t="s">
        <v>62</v>
      </c>
      <c r="B65">
        <v>59</v>
      </c>
      <c r="C65" t="s">
        <v>207</v>
      </c>
      <c r="D65" t="s">
        <v>208</v>
      </c>
      <c r="E65" t="s">
        <v>89</v>
      </c>
      <c r="F65" t="s">
        <v>90</v>
      </c>
    </row>
    <row r="66" spans="1:6">
      <c r="A66" t="s">
        <v>63</v>
      </c>
      <c r="B66">
        <v>60</v>
      </c>
      <c r="C66" t="s">
        <v>209</v>
      </c>
      <c r="D66" t="s">
        <v>210</v>
      </c>
      <c r="E66" t="s">
        <v>89</v>
      </c>
      <c r="F66" t="s">
        <v>90</v>
      </c>
    </row>
    <row r="67" spans="1:6">
      <c r="A67" t="s">
        <v>64</v>
      </c>
      <c r="B67">
        <v>61</v>
      </c>
      <c r="C67" t="s">
        <v>211</v>
      </c>
      <c r="D67" t="s">
        <v>212</v>
      </c>
      <c r="E67" t="s">
        <v>89</v>
      </c>
      <c r="F67" t="s">
        <v>90</v>
      </c>
    </row>
    <row r="68" spans="1:6">
      <c r="A68" t="s">
        <v>65</v>
      </c>
      <c r="B68">
        <v>62</v>
      </c>
      <c r="C68" t="s">
        <v>213</v>
      </c>
      <c r="D68" t="s">
        <v>214</v>
      </c>
      <c r="E68" t="s">
        <v>89</v>
      </c>
      <c r="F68" t="s">
        <v>90</v>
      </c>
    </row>
    <row r="69" spans="1:6">
      <c r="A69" t="s">
        <v>66</v>
      </c>
      <c r="B69">
        <v>63</v>
      </c>
      <c r="C69" t="s">
        <v>215</v>
      </c>
      <c r="D69" t="s">
        <v>216</v>
      </c>
      <c r="E69" t="s">
        <v>89</v>
      </c>
      <c r="F69" t="s">
        <v>90</v>
      </c>
    </row>
    <row r="70" spans="1:6">
      <c r="A70" t="s">
        <v>67</v>
      </c>
      <c r="C70" t="s">
        <v>217</v>
      </c>
      <c r="D70" t="s">
        <v>218</v>
      </c>
      <c r="E70" t="s">
        <v>219</v>
      </c>
      <c r="F70" t="s">
        <v>220</v>
      </c>
    </row>
    <row r="71" spans="1:6">
      <c r="A71" t="s">
        <v>68</v>
      </c>
      <c r="C71" t="s">
        <v>217</v>
      </c>
      <c r="D71" t="s">
        <v>221</v>
      </c>
      <c r="E71" t="s">
        <v>219</v>
      </c>
      <c r="F71" t="s">
        <v>222</v>
      </c>
    </row>
    <row r="72" spans="1:6">
      <c r="A72" t="s">
        <v>69</v>
      </c>
      <c r="C72" t="s">
        <v>217</v>
      </c>
      <c r="D72" t="s">
        <v>223</v>
      </c>
      <c r="E72" t="s">
        <v>224</v>
      </c>
      <c r="F72" t="s">
        <v>225</v>
      </c>
    </row>
    <row r="73" spans="1:6">
      <c r="A73" t="s">
        <v>70</v>
      </c>
      <c r="C73" t="s">
        <v>217</v>
      </c>
      <c r="D73" t="s">
        <v>226</v>
      </c>
      <c r="E73" t="s">
        <v>224</v>
      </c>
      <c r="F73" t="s">
        <v>227</v>
      </c>
    </row>
    <row r="74" spans="1:6">
      <c r="A74" t="s">
        <v>71</v>
      </c>
      <c r="C74" t="s">
        <v>217</v>
      </c>
      <c r="D74" t="s">
        <v>228</v>
      </c>
      <c r="E74" t="s">
        <v>224</v>
      </c>
      <c r="F74" t="s">
        <v>229</v>
      </c>
    </row>
    <row r="75" spans="1:6">
      <c r="A75" t="s">
        <v>72</v>
      </c>
      <c r="C75" t="s">
        <v>217</v>
      </c>
      <c r="D75" t="s">
        <v>230</v>
      </c>
      <c r="E75" t="s">
        <v>231</v>
      </c>
      <c r="F75" t="s">
        <v>232</v>
      </c>
    </row>
    <row r="76" spans="1:6">
      <c r="A76" t="s">
        <v>73</v>
      </c>
      <c r="C76" t="s">
        <v>217</v>
      </c>
      <c r="D76" t="s">
        <v>233</v>
      </c>
      <c r="E76" t="s">
        <v>231</v>
      </c>
      <c r="F76" t="s">
        <v>234</v>
      </c>
    </row>
    <row r="77" spans="1:6">
      <c r="A77" t="s">
        <v>74</v>
      </c>
      <c r="C77" t="s">
        <v>217</v>
      </c>
      <c r="D77" t="s">
        <v>235</v>
      </c>
      <c r="E77" t="s">
        <v>231</v>
      </c>
      <c r="F77" t="s">
        <v>236</v>
      </c>
    </row>
    <row r="78" spans="1:6">
      <c r="A78" t="s">
        <v>75</v>
      </c>
      <c r="C78" t="s">
        <v>217</v>
      </c>
      <c r="D78" t="s">
        <v>237</v>
      </c>
      <c r="E78" t="s">
        <v>231</v>
      </c>
      <c r="F78" t="s">
        <v>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F86"/>
  <sheetViews>
    <sheetView workbookViewId="0"/>
  </sheetViews>
  <sheetFormatPr defaultRowHeight="15"/>
  <sheetData>
    <row r="2" spans="1:6">
      <c r="A2" t="s">
        <v>239</v>
      </c>
    </row>
    <row r="3" spans="1:6">
      <c r="A3" t="s">
        <v>240</v>
      </c>
    </row>
    <row r="5" spans="1:6">
      <c r="A5" t="s">
        <v>2</v>
      </c>
      <c r="B5" t="s">
        <v>84</v>
      </c>
      <c r="C5" t="s">
        <v>241</v>
      </c>
      <c r="D5" t="s">
        <v>242</v>
      </c>
      <c r="E5" t="s">
        <v>243</v>
      </c>
      <c r="F5" t="s">
        <v>244</v>
      </c>
    </row>
    <row r="6" spans="1:6">
      <c r="A6" t="s">
        <v>3</v>
      </c>
      <c r="B6" t="s">
        <v>88</v>
      </c>
      <c r="C6">
        <v>-14134006.59453957</v>
      </c>
      <c r="D6">
        <v>-40497646.41729643</v>
      </c>
      <c r="E6">
        <f>C6+D6</f>
        <v>-54631653.011836</v>
      </c>
      <c r="F6" t="s">
        <v>245</v>
      </c>
    </row>
    <row r="7" spans="1:6">
      <c r="A7" t="s">
        <v>4</v>
      </c>
      <c r="B7" t="s">
        <v>92</v>
      </c>
      <c r="C7">
        <v>144781.1421751063</v>
      </c>
      <c r="D7">
        <v>43809.32864288765</v>
      </c>
      <c r="E7">
        <f>C7+D7</f>
        <v>188590.47081799395</v>
      </c>
      <c r="F7" t="s">
        <v>245</v>
      </c>
    </row>
    <row r="8" spans="1:6">
      <c r="A8" t="s">
        <v>5</v>
      </c>
      <c r="B8" t="s">
        <v>94</v>
      </c>
      <c r="C8">
        <v>375484.2020096235</v>
      </c>
      <c r="D8">
        <v>43031.77347847018</v>
      </c>
      <c r="E8">
        <f>C8+D8</f>
        <v>418515.9754880937</v>
      </c>
      <c r="F8" t="s">
        <v>245</v>
      </c>
    </row>
    <row r="9" spans="1:6">
      <c r="A9" t="s">
        <v>6</v>
      </c>
      <c r="B9" t="s">
        <v>96</v>
      </c>
      <c r="C9">
        <v>6086615.936848065</v>
      </c>
      <c r="D9">
        <v>-7361776.349188306</v>
      </c>
      <c r="E9">
        <f>C9+D9</f>
        <v>-1275160.4123402415</v>
      </c>
      <c r="F9" t="s">
        <v>245</v>
      </c>
    </row>
    <row r="10" spans="1:6">
      <c r="A10" t="s">
        <v>7</v>
      </c>
      <c r="B10" t="s">
        <v>98</v>
      </c>
      <c r="C10">
        <v>-5218209.715159202</v>
      </c>
      <c r="D10">
        <v>-27938700.06509559</v>
      </c>
      <c r="E10">
        <f>C10+D10</f>
        <v>-33156909.78025479</v>
      </c>
      <c r="F10" t="s">
        <v>245</v>
      </c>
    </row>
    <row r="11" spans="1:6">
      <c r="A11" t="s">
        <v>8</v>
      </c>
      <c r="B11" t="s">
        <v>100</v>
      </c>
      <c r="C11">
        <v>13974022.49195853</v>
      </c>
      <c r="D11">
        <v>-26638724.72876883</v>
      </c>
      <c r="E11">
        <f>C11+D11</f>
        <v>-12664702.236810299</v>
      </c>
      <c r="F11" t="s">
        <v>245</v>
      </c>
    </row>
    <row r="12" spans="1:6">
      <c r="A12" t="s">
        <v>9</v>
      </c>
      <c r="B12" t="s">
        <v>102</v>
      </c>
      <c r="C12">
        <v>1961103.883198935</v>
      </c>
      <c r="D12">
        <v>-2261101.605637244</v>
      </c>
      <c r="E12">
        <f>C12+D12</f>
        <v>-299997.7224383089</v>
      </c>
      <c r="F12" t="s">
        <v>245</v>
      </c>
    </row>
    <row r="13" spans="1:6">
      <c r="A13" t="s">
        <v>10</v>
      </c>
      <c r="B13" t="s">
        <v>104</v>
      </c>
      <c r="C13">
        <v>4719029.343577891</v>
      </c>
      <c r="D13">
        <v>-3752966.960414423</v>
      </c>
      <c r="E13">
        <f>C13+D13</f>
        <v>966062.3831634675</v>
      </c>
      <c r="F13" t="s">
        <v>245</v>
      </c>
    </row>
    <row r="14" spans="1:6">
      <c r="A14" t="s">
        <v>11</v>
      </c>
      <c r="B14" t="s">
        <v>106</v>
      </c>
      <c r="C14">
        <v>1224519.86204447</v>
      </c>
      <c r="D14">
        <v>-1718291.492309961</v>
      </c>
      <c r="E14">
        <f>C14+D14</f>
        <v>-493771.6302654911</v>
      </c>
      <c r="F14" t="s">
        <v>245</v>
      </c>
    </row>
    <row r="15" spans="1:6">
      <c r="A15" t="s">
        <v>12</v>
      </c>
      <c r="B15" t="s">
        <v>108</v>
      </c>
      <c r="C15">
        <v>59696501.32123023</v>
      </c>
      <c r="D15">
        <v>-10353513.59669094</v>
      </c>
      <c r="E15">
        <f>C15+D15</f>
        <v>49342987.724539295</v>
      </c>
      <c r="F15" t="s">
        <v>245</v>
      </c>
    </row>
    <row r="16" spans="1:6">
      <c r="A16" t="s">
        <v>13</v>
      </c>
      <c r="B16" t="s">
        <v>110</v>
      </c>
      <c r="C16">
        <v>11788425.71103102</v>
      </c>
      <c r="D16">
        <v>-8568679.056335444</v>
      </c>
      <c r="E16">
        <f>C16+D16</f>
        <v>3219746.654695576</v>
      </c>
      <c r="F16" t="s">
        <v>245</v>
      </c>
    </row>
    <row r="17" spans="1:6">
      <c r="A17" t="s">
        <v>14</v>
      </c>
      <c r="B17" t="s">
        <v>112</v>
      </c>
      <c r="C17">
        <v>1449736.703513356</v>
      </c>
      <c r="D17">
        <v>-1753834.740380102</v>
      </c>
      <c r="E17">
        <f>C17+D17</f>
        <v>-304098.03686674614</v>
      </c>
      <c r="F17" t="s">
        <v>245</v>
      </c>
    </row>
    <row r="18" spans="1:6">
      <c r="A18" t="s">
        <v>15</v>
      </c>
      <c r="B18" t="s">
        <v>114</v>
      </c>
      <c r="C18">
        <v>8352764.29510885</v>
      </c>
      <c r="D18">
        <v>-9273071.159087677</v>
      </c>
      <c r="E18">
        <f>C18+D18</f>
        <v>-920306.8639788264</v>
      </c>
      <c r="F18" t="s">
        <v>245</v>
      </c>
    </row>
    <row r="19" spans="1:6">
      <c r="A19" t="s">
        <v>16</v>
      </c>
      <c r="B19" t="s">
        <v>116</v>
      </c>
      <c r="C19">
        <v>9412408.528266706</v>
      </c>
      <c r="D19">
        <v>-9311397.553996531</v>
      </c>
      <c r="E19">
        <f>C19+D19</f>
        <v>101010.97427017428</v>
      </c>
      <c r="F19" t="s">
        <v>245</v>
      </c>
    </row>
    <row r="20" spans="1:6">
      <c r="A20" t="s">
        <v>17</v>
      </c>
      <c r="B20" t="s">
        <v>118</v>
      </c>
      <c r="C20">
        <v>19480726.64778794</v>
      </c>
      <c r="D20">
        <v>-21409319.06808137</v>
      </c>
      <c r="E20">
        <f>C20+D20</f>
        <v>-1928592.4202934317</v>
      </c>
      <c r="F20" t="s">
        <v>245</v>
      </c>
    </row>
    <row r="21" spans="1:6">
      <c r="A21" t="s">
        <v>18</v>
      </c>
      <c r="B21" t="s">
        <v>120</v>
      </c>
      <c r="C21">
        <v>10251345.24004794</v>
      </c>
      <c r="D21">
        <v>-9639454.813398307</v>
      </c>
      <c r="E21">
        <f>C21+D21</f>
        <v>611890.4266496319</v>
      </c>
      <c r="F21" t="s">
        <v>245</v>
      </c>
    </row>
    <row r="22" spans="1:6">
      <c r="A22" t="s">
        <v>19</v>
      </c>
      <c r="B22" t="s">
        <v>122</v>
      </c>
      <c r="C22">
        <v>2691994.059496276</v>
      </c>
      <c r="D22">
        <v>-2047539.970017966</v>
      </c>
      <c r="E22">
        <f>C22+D22</f>
        <v>644454.08947831</v>
      </c>
      <c r="F22" t="s">
        <v>245</v>
      </c>
    </row>
    <row r="23" spans="1:6">
      <c r="A23" t="s">
        <v>20</v>
      </c>
      <c r="B23" t="s">
        <v>124</v>
      </c>
      <c r="C23">
        <v>11316439.75525596</v>
      </c>
      <c r="D23">
        <v>-9001793.787840633</v>
      </c>
      <c r="E23">
        <f>C23+D23</f>
        <v>2314645.967415327</v>
      </c>
      <c r="F23" t="s">
        <v>245</v>
      </c>
    </row>
    <row r="24" spans="1:6">
      <c r="A24" t="s">
        <v>21</v>
      </c>
      <c r="B24" t="s">
        <v>126</v>
      </c>
      <c r="C24">
        <v>12801871.78476721</v>
      </c>
      <c r="D24">
        <v>-7563332.306271806</v>
      </c>
      <c r="E24">
        <f>C24+D24</f>
        <v>5238539.478495404</v>
      </c>
      <c r="F24" t="s">
        <v>245</v>
      </c>
    </row>
    <row r="25" spans="1:6">
      <c r="A25" t="s">
        <v>22</v>
      </c>
      <c r="B25" t="s">
        <v>128</v>
      </c>
      <c r="C25">
        <v>15624390.41054163</v>
      </c>
      <c r="D25">
        <v>-13504654.25575757</v>
      </c>
      <c r="E25">
        <f>C25+D25</f>
        <v>2119736.154784059</v>
      </c>
      <c r="F25" t="s">
        <v>245</v>
      </c>
    </row>
    <row r="26" spans="1:6">
      <c r="A26" t="s">
        <v>23</v>
      </c>
      <c r="B26" t="s">
        <v>130</v>
      </c>
      <c r="C26">
        <v>5620924.888988438</v>
      </c>
      <c r="D26">
        <v>-1468215.374654266</v>
      </c>
      <c r="E26">
        <f>C26+D26</f>
        <v>4152709.514334172</v>
      </c>
      <c r="F26" t="s">
        <v>245</v>
      </c>
    </row>
    <row r="27" spans="1:6">
      <c r="A27" t="s">
        <v>24</v>
      </c>
      <c r="B27" t="s">
        <v>132</v>
      </c>
      <c r="C27">
        <v>5442013.957609644</v>
      </c>
      <c r="D27">
        <v>-5581316.216307546</v>
      </c>
      <c r="E27">
        <f>C27+D27</f>
        <v>-139302.25869790185</v>
      </c>
      <c r="F27" t="s">
        <v>245</v>
      </c>
    </row>
    <row r="28" spans="1:6">
      <c r="A28" t="s">
        <v>25</v>
      </c>
      <c r="B28" t="s">
        <v>134</v>
      </c>
      <c r="C28">
        <v>3919814.796601823</v>
      </c>
      <c r="D28">
        <v>-1163064.26004335</v>
      </c>
      <c r="E28">
        <f>C28+D28</f>
        <v>2756750.536558473</v>
      </c>
      <c r="F28" t="s">
        <v>245</v>
      </c>
    </row>
    <row r="29" spans="1:6">
      <c r="A29" t="s">
        <v>26</v>
      </c>
      <c r="B29" t="s">
        <v>136</v>
      </c>
      <c r="C29">
        <v>70856531.99286951</v>
      </c>
      <c r="D29">
        <v>-93626072.76997243</v>
      </c>
      <c r="E29">
        <f>C29+D29</f>
        <v>-22769540.777102917</v>
      </c>
      <c r="F29" t="s">
        <v>245</v>
      </c>
    </row>
    <row r="30" spans="1:6">
      <c r="A30" t="s">
        <v>27</v>
      </c>
      <c r="B30" t="s">
        <v>138</v>
      </c>
      <c r="C30">
        <v>834707.3792682699</v>
      </c>
      <c r="D30">
        <v>102312.2952838526</v>
      </c>
      <c r="E30">
        <f>C30+D30</f>
        <v>937019.6745521225</v>
      </c>
      <c r="F30" t="s">
        <v>245</v>
      </c>
    </row>
    <row r="31" spans="1:6">
      <c r="A31" t="s">
        <v>28</v>
      </c>
      <c r="B31" t="s">
        <v>140</v>
      </c>
      <c r="C31">
        <v>2361625.259655555</v>
      </c>
      <c r="D31">
        <v>273854.9995543553</v>
      </c>
      <c r="E31">
        <f>C31+D31</f>
        <v>2635480.25920991</v>
      </c>
      <c r="F31" t="s">
        <v>245</v>
      </c>
    </row>
    <row r="32" spans="1:6">
      <c r="A32" t="s">
        <v>29</v>
      </c>
      <c r="B32" t="s">
        <v>142</v>
      </c>
      <c r="C32">
        <v>44651318.42581016</v>
      </c>
      <c r="D32">
        <v>9674349.777801447</v>
      </c>
      <c r="E32">
        <f>C32+D32</f>
        <v>54325668.203611605</v>
      </c>
      <c r="F32" t="s">
        <v>245</v>
      </c>
    </row>
    <row r="33" spans="1:6">
      <c r="A33" t="s">
        <v>30</v>
      </c>
      <c r="B33" t="s">
        <v>144</v>
      </c>
      <c r="C33">
        <v>7141115.075831615</v>
      </c>
      <c r="D33">
        <v>1370610.287587049</v>
      </c>
      <c r="E33">
        <f>C33+D33</f>
        <v>8511725.363418665</v>
      </c>
      <c r="F33" t="s">
        <v>245</v>
      </c>
    </row>
    <row r="34" spans="1:6">
      <c r="A34" t="s">
        <v>31</v>
      </c>
      <c r="B34" t="s">
        <v>146</v>
      </c>
      <c r="C34">
        <v>20893376.44264837</v>
      </c>
      <c r="D34">
        <v>4658252.368960645</v>
      </c>
      <c r="E34">
        <f>C34+D34</f>
        <v>25551628.811609015</v>
      </c>
      <c r="F34" t="s">
        <v>245</v>
      </c>
    </row>
    <row r="35" spans="1:6">
      <c r="A35" t="s">
        <v>32</v>
      </c>
      <c r="B35" t="s">
        <v>148</v>
      </c>
      <c r="C35">
        <v>11309659.69028419</v>
      </c>
      <c r="D35">
        <v>4950878.935821771</v>
      </c>
      <c r="E35">
        <f>C35+D35</f>
        <v>16260538.62610596</v>
      </c>
      <c r="F35" t="s">
        <v>245</v>
      </c>
    </row>
    <row r="36" spans="1:6">
      <c r="A36" t="s">
        <v>33</v>
      </c>
      <c r="B36" t="s">
        <v>150</v>
      </c>
      <c r="C36">
        <v>28811349.2893756</v>
      </c>
      <c r="D36">
        <v>-92409189.80423594</v>
      </c>
      <c r="E36">
        <f>C36+D36</f>
        <v>-63597840.51486033</v>
      </c>
      <c r="F36" t="s">
        <v>245</v>
      </c>
    </row>
    <row r="37" spans="1:6">
      <c r="A37" t="s">
        <v>34</v>
      </c>
      <c r="B37" t="s">
        <v>152</v>
      </c>
      <c r="C37">
        <v>2184835.706513112</v>
      </c>
      <c r="D37">
        <v>1484319.422445677</v>
      </c>
      <c r="E37">
        <f>C37+D37</f>
        <v>3669155.1289587887</v>
      </c>
      <c r="F37" t="s">
        <v>245</v>
      </c>
    </row>
    <row r="38" spans="1:6">
      <c r="A38" t="s">
        <v>35</v>
      </c>
      <c r="B38" t="s">
        <v>154</v>
      </c>
      <c r="C38">
        <v>9516133.428514805</v>
      </c>
      <c r="D38">
        <v>722063.2569802848</v>
      </c>
      <c r="E38">
        <f>C38+D38</f>
        <v>10238196.68549509</v>
      </c>
      <c r="F38" t="s">
        <v>245</v>
      </c>
    </row>
    <row r="39" spans="1:6">
      <c r="A39" t="s">
        <v>36</v>
      </c>
      <c r="B39" t="s">
        <v>156</v>
      </c>
      <c r="C39">
        <v>7581257.472126739</v>
      </c>
      <c r="D39">
        <v>93905.32239825721</v>
      </c>
      <c r="E39">
        <f>C39+D39</f>
        <v>7675162.794524997</v>
      </c>
      <c r="F39" t="s">
        <v>245</v>
      </c>
    </row>
    <row r="40" spans="1:6">
      <c r="A40" t="s">
        <v>37</v>
      </c>
      <c r="B40" t="s">
        <v>158</v>
      </c>
      <c r="C40">
        <v>1982026.943838386</v>
      </c>
      <c r="D40">
        <v>186701.5025671844</v>
      </c>
      <c r="E40">
        <f>C40+D40</f>
        <v>2168728.4464055705</v>
      </c>
      <c r="F40" t="s">
        <v>245</v>
      </c>
    </row>
    <row r="41" spans="1:6">
      <c r="A41" t="s">
        <v>38</v>
      </c>
      <c r="B41" t="s">
        <v>160</v>
      </c>
      <c r="C41">
        <v>28822790.85072633</v>
      </c>
      <c r="D41">
        <v>2241058.188492341</v>
      </c>
      <c r="E41">
        <f>C41+D41</f>
        <v>31063849.03921867</v>
      </c>
      <c r="F41" t="s">
        <v>245</v>
      </c>
    </row>
    <row r="42" spans="1:6">
      <c r="A42" t="s">
        <v>39</v>
      </c>
      <c r="B42" t="s">
        <v>162</v>
      </c>
      <c r="C42">
        <v>1024249.602100818</v>
      </c>
      <c r="D42">
        <v>110102.9183586191</v>
      </c>
      <c r="E42">
        <f>C42+D42</f>
        <v>1134352.520459437</v>
      </c>
      <c r="F42" t="s">
        <v>245</v>
      </c>
    </row>
    <row r="43" spans="1:6">
      <c r="A43" t="s">
        <v>40</v>
      </c>
      <c r="B43" t="s">
        <v>164</v>
      </c>
      <c r="C43">
        <v>14797936.5473322</v>
      </c>
      <c r="D43">
        <v>450712.2718732742</v>
      </c>
      <c r="E43">
        <f>C43+D43</f>
        <v>15248648.819205474</v>
      </c>
      <c r="F43" t="s">
        <v>245</v>
      </c>
    </row>
    <row r="44" spans="1:6">
      <c r="A44" t="s">
        <v>41</v>
      </c>
      <c r="B44" t="s">
        <v>166</v>
      </c>
      <c r="C44">
        <v>4641329.497059665</v>
      </c>
      <c r="D44">
        <v>5151657.359221421</v>
      </c>
      <c r="E44">
        <f>C44+D44</f>
        <v>9792986.856281087</v>
      </c>
      <c r="F44" t="s">
        <v>245</v>
      </c>
    </row>
    <row r="45" spans="1:6">
      <c r="A45" t="s">
        <v>42</v>
      </c>
      <c r="B45" t="s">
        <v>168</v>
      </c>
      <c r="C45">
        <v>3392707.756176602</v>
      </c>
      <c r="D45">
        <v>250202.7692498337</v>
      </c>
      <c r="E45">
        <f>C45+D45</f>
        <v>3642910.5254264357</v>
      </c>
      <c r="F45" t="s">
        <v>245</v>
      </c>
    </row>
    <row r="46" spans="1:6">
      <c r="A46" t="s">
        <v>43</v>
      </c>
      <c r="B46" t="s">
        <v>170</v>
      </c>
      <c r="C46">
        <v>31756525.0254198</v>
      </c>
      <c r="D46">
        <v>-4588206.664685957</v>
      </c>
      <c r="E46">
        <f>C46+D46</f>
        <v>27168318.360733844</v>
      </c>
      <c r="F46" t="s">
        <v>245</v>
      </c>
    </row>
    <row r="47" spans="1:6">
      <c r="A47" t="s">
        <v>44</v>
      </c>
      <c r="B47" t="s">
        <v>172</v>
      </c>
      <c r="C47">
        <v>10415267.36029065</v>
      </c>
      <c r="D47">
        <v>4376960.145511157</v>
      </c>
      <c r="E47">
        <f>C47+D47</f>
        <v>14792227.505801808</v>
      </c>
      <c r="F47" t="s">
        <v>245</v>
      </c>
    </row>
    <row r="48" spans="1:6">
      <c r="A48" t="s">
        <v>45</v>
      </c>
      <c r="B48" t="s">
        <v>174</v>
      </c>
      <c r="C48">
        <v>2726673.389646679</v>
      </c>
      <c r="D48">
        <v>25730947.96570551</v>
      </c>
      <c r="E48">
        <f>C48+D48</f>
        <v>28457621.35535219</v>
      </c>
      <c r="F48" t="s">
        <v>245</v>
      </c>
    </row>
    <row r="49" spans="1:6">
      <c r="A49" t="s">
        <v>46</v>
      </c>
      <c r="B49" t="s">
        <v>176</v>
      </c>
      <c r="C49">
        <v>4777312.972645775</v>
      </c>
      <c r="D49">
        <v>557621.1118901341</v>
      </c>
      <c r="E49">
        <f>C49+D49</f>
        <v>5334934.08453591</v>
      </c>
      <c r="F49" t="s">
        <v>245</v>
      </c>
    </row>
    <row r="50" spans="1:6">
      <c r="A50" t="s">
        <v>47</v>
      </c>
      <c r="B50" t="s">
        <v>178</v>
      </c>
      <c r="C50">
        <v>3765463.075041824</v>
      </c>
      <c r="D50">
        <v>13571769.84660196</v>
      </c>
      <c r="E50">
        <f>C50+D50</f>
        <v>17337232.921643782</v>
      </c>
      <c r="F50" t="s">
        <v>245</v>
      </c>
    </row>
    <row r="51" spans="1:6">
      <c r="A51" t="s">
        <v>48</v>
      </c>
      <c r="B51" t="s">
        <v>180</v>
      </c>
      <c r="C51">
        <v>2857008.812231447</v>
      </c>
      <c r="D51">
        <v>870148.5541348088</v>
      </c>
      <c r="E51">
        <f>C51+D51</f>
        <v>3727157.366366256</v>
      </c>
      <c r="F51" t="s">
        <v>245</v>
      </c>
    </row>
    <row r="52" spans="1:6">
      <c r="A52" t="s">
        <v>49</v>
      </c>
      <c r="B52" t="s">
        <v>182</v>
      </c>
      <c r="C52">
        <v>2643946.841618041</v>
      </c>
      <c r="D52">
        <v>6075457.751566874</v>
      </c>
      <c r="E52">
        <f>C52+D52</f>
        <v>8719404.593184914</v>
      </c>
      <c r="F52" t="s">
        <v>245</v>
      </c>
    </row>
    <row r="53" spans="1:6">
      <c r="A53" t="s">
        <v>50</v>
      </c>
      <c r="B53" t="s">
        <v>184</v>
      </c>
      <c r="C53">
        <v>242203.9892055229</v>
      </c>
      <c r="D53">
        <v>16328.14090431921</v>
      </c>
      <c r="E53">
        <f>C53+D53</f>
        <v>258532.1301098421</v>
      </c>
      <c r="F53" t="s">
        <v>245</v>
      </c>
    </row>
    <row r="54" spans="1:6">
      <c r="A54" t="s">
        <v>51</v>
      </c>
      <c r="B54" t="s">
        <v>186</v>
      </c>
      <c r="C54">
        <v>4304219.781380347</v>
      </c>
      <c r="D54">
        <v>282008.6067759192</v>
      </c>
      <c r="E54">
        <f>C54+D54</f>
        <v>4586228.388156266</v>
      </c>
      <c r="F54" t="s">
        <v>245</v>
      </c>
    </row>
    <row r="55" spans="1:6">
      <c r="A55" t="s">
        <v>52</v>
      </c>
      <c r="B55" t="s">
        <v>188</v>
      </c>
      <c r="C55">
        <v>497193.3494266415</v>
      </c>
      <c r="D55">
        <v>112359.7157781875</v>
      </c>
      <c r="E55">
        <f>C55+D55</f>
        <v>609553.065204829</v>
      </c>
      <c r="F55" t="s">
        <v>245</v>
      </c>
    </row>
    <row r="56" spans="1:6">
      <c r="A56" t="s">
        <v>53</v>
      </c>
      <c r="B56" t="s">
        <v>190</v>
      </c>
      <c r="C56">
        <v>2491866.717528904</v>
      </c>
      <c r="D56">
        <v>689434.9867826661</v>
      </c>
      <c r="E56">
        <f>C56+D56</f>
        <v>3181301.70431157</v>
      </c>
      <c r="F56" t="s">
        <v>245</v>
      </c>
    </row>
    <row r="57" spans="1:6">
      <c r="A57" t="s">
        <v>54</v>
      </c>
      <c r="B57" t="s">
        <v>192</v>
      </c>
      <c r="C57">
        <v>579334.7195478311</v>
      </c>
      <c r="D57">
        <v>34948.09647111315</v>
      </c>
      <c r="E57">
        <f>C57+D57</f>
        <v>614282.8160189443</v>
      </c>
      <c r="F57" t="s">
        <v>245</v>
      </c>
    </row>
    <row r="58" spans="1:6">
      <c r="A58" t="s">
        <v>55</v>
      </c>
      <c r="B58" t="s">
        <v>194</v>
      </c>
      <c r="C58">
        <v>4165581.016844516</v>
      </c>
      <c r="D58">
        <v>408527.891291094</v>
      </c>
      <c r="E58">
        <f>C58+D58</f>
        <v>4574108.90813561</v>
      </c>
      <c r="F58" t="s">
        <v>245</v>
      </c>
    </row>
    <row r="59" spans="1:6">
      <c r="A59" t="s">
        <v>56</v>
      </c>
      <c r="B59" t="s">
        <v>196</v>
      </c>
      <c r="C59">
        <v>3282419.575905395</v>
      </c>
      <c r="D59">
        <v>954054.5132594242</v>
      </c>
      <c r="E59">
        <f>C59+D59</f>
        <v>4236474.08916482</v>
      </c>
      <c r="F59" t="s">
        <v>245</v>
      </c>
    </row>
    <row r="60" spans="1:6">
      <c r="A60" t="s">
        <v>57</v>
      </c>
      <c r="B60" t="s">
        <v>198</v>
      </c>
      <c r="C60">
        <v>12797127.78078491</v>
      </c>
      <c r="D60">
        <v>2383913.840730504</v>
      </c>
      <c r="E60">
        <f>C60+D60</f>
        <v>15181041.621515416</v>
      </c>
      <c r="F60" t="s">
        <v>245</v>
      </c>
    </row>
    <row r="61" spans="1:6">
      <c r="A61" t="s">
        <v>58</v>
      </c>
      <c r="B61" t="s">
        <v>200</v>
      </c>
      <c r="C61">
        <v>4336635.741415062</v>
      </c>
      <c r="D61">
        <v>304712.7614207856</v>
      </c>
      <c r="E61">
        <f>C61+D61</f>
        <v>4641348.502835847</v>
      </c>
      <c r="F61" t="s">
        <v>245</v>
      </c>
    </row>
    <row r="62" spans="1:6">
      <c r="A62" t="s">
        <v>59</v>
      </c>
      <c r="B62" t="s">
        <v>202</v>
      </c>
      <c r="C62">
        <v>5822874.588703548</v>
      </c>
      <c r="D62">
        <v>1248965.749883333</v>
      </c>
      <c r="E62">
        <f>C62+D62</f>
        <v>7071840.338586881</v>
      </c>
      <c r="F62" t="s">
        <v>245</v>
      </c>
    </row>
    <row r="63" spans="1:6">
      <c r="A63" t="s">
        <v>60</v>
      </c>
      <c r="B63" t="s">
        <v>204</v>
      </c>
      <c r="C63">
        <v>406046.5326082981</v>
      </c>
      <c r="D63">
        <v>28405.53166090378</v>
      </c>
      <c r="E63">
        <f>C63+D63</f>
        <v>434452.0642692019</v>
      </c>
      <c r="F63" t="s">
        <v>245</v>
      </c>
    </row>
    <row r="64" spans="1:6">
      <c r="A64" t="s">
        <v>61</v>
      </c>
      <c r="B64" t="s">
        <v>206</v>
      </c>
      <c r="C64">
        <v>2332978.011762087</v>
      </c>
      <c r="D64">
        <v>49382.326303047</v>
      </c>
      <c r="E64">
        <f>C64+D64</f>
        <v>2382360.338065134</v>
      </c>
      <c r="F64" t="s">
        <v>245</v>
      </c>
    </row>
    <row r="65" spans="1:6">
      <c r="A65" t="s">
        <v>62</v>
      </c>
      <c r="B65" t="s">
        <v>208</v>
      </c>
      <c r="C65">
        <v>1146264.411998123</v>
      </c>
      <c r="D65">
        <v>117147.222657298</v>
      </c>
      <c r="E65">
        <f>C65+D65</f>
        <v>1263411.634655421</v>
      </c>
      <c r="F65" t="s">
        <v>245</v>
      </c>
    </row>
    <row r="66" spans="1:6">
      <c r="A66" t="s">
        <v>63</v>
      </c>
      <c r="B66" t="s">
        <v>210</v>
      </c>
      <c r="C66">
        <v>1369246.035640876</v>
      </c>
      <c r="D66">
        <v>183596.2604724618</v>
      </c>
      <c r="E66">
        <f>C66+D66</f>
        <v>1552842.2961133379</v>
      </c>
      <c r="F66" t="s">
        <v>245</v>
      </c>
    </row>
    <row r="67" spans="1:6">
      <c r="A67" t="s">
        <v>64</v>
      </c>
      <c r="B67" t="s">
        <v>212</v>
      </c>
      <c r="C67">
        <v>685216.4577158045</v>
      </c>
      <c r="D67">
        <v>168318.5518629184</v>
      </c>
      <c r="E67">
        <f>C67+D67</f>
        <v>853535.0095787229</v>
      </c>
      <c r="F67" t="s">
        <v>245</v>
      </c>
    </row>
    <row r="68" spans="1:6">
      <c r="A68" t="s">
        <v>65</v>
      </c>
      <c r="B68" t="s">
        <v>214</v>
      </c>
      <c r="C68">
        <v>710302.2106311405</v>
      </c>
      <c r="D68">
        <v>406218.7355765543</v>
      </c>
      <c r="E68">
        <f>C68+D68</f>
        <v>1116520.9462076947</v>
      </c>
      <c r="F68" t="s">
        <v>245</v>
      </c>
    </row>
    <row r="69" spans="1:6">
      <c r="A69" t="s">
        <v>66</v>
      </c>
      <c r="B69" t="s">
        <v>216</v>
      </c>
      <c r="C69">
        <v>0</v>
      </c>
      <c r="D69">
        <v>0</v>
      </c>
      <c r="E69">
        <f>C69+D69</f>
        <v>0.0</v>
      </c>
      <c r="F69" t="s">
        <v>245</v>
      </c>
    </row>
    <row r="70" spans="1:6">
      <c r="A70" t="s">
        <v>72</v>
      </c>
      <c r="B70" t="s">
        <v>246</v>
      </c>
      <c r="C70">
        <v>1396394534.764736</v>
      </c>
      <c r="D70">
        <v>0</v>
      </c>
      <c r="E70">
        <f>C70+D70</f>
        <v>1396394534.764736</v>
      </c>
      <c r="F70" t="s">
        <v>245</v>
      </c>
    </row>
    <row r="71" spans="1:6">
      <c r="A71" t="s">
        <v>73</v>
      </c>
      <c r="B71" t="s">
        <v>233</v>
      </c>
      <c r="C71">
        <v>97123096.88386586</v>
      </c>
      <c r="D71">
        <v>0</v>
      </c>
      <c r="E71">
        <f>C71+D71</f>
        <v>97123096.88386586</v>
      </c>
      <c r="F71" t="s">
        <v>245</v>
      </c>
    </row>
    <row r="72" spans="1:6">
      <c r="A72" t="s">
        <v>74</v>
      </c>
      <c r="B72" t="s">
        <v>247</v>
      </c>
      <c r="C72">
        <v>952226679.8391796</v>
      </c>
      <c r="D72">
        <v>0</v>
      </c>
      <c r="E72">
        <f>C72+D72</f>
        <v>952226679.8391796</v>
      </c>
      <c r="F72" t="s">
        <v>245</v>
      </c>
    </row>
    <row r="73" spans="1:6">
      <c r="A73" t="s">
        <v>75</v>
      </c>
      <c r="B73" t="s">
        <v>248</v>
      </c>
      <c r="C73">
        <v>0</v>
      </c>
      <c r="D73">
        <v>0</v>
      </c>
      <c r="E73">
        <f>C73+D73</f>
        <v>0.0</v>
      </c>
      <c r="F73" t="s">
        <v>245</v>
      </c>
    </row>
    <row r="77" spans="1:6">
      <c r="A77" t="s">
        <v>249</v>
      </c>
      <c r="B77" t="s">
        <v>250</v>
      </c>
      <c r="C77" t="s">
        <v>251</v>
      </c>
      <c r="D77" t="s">
        <v>252</v>
      </c>
      <c r="E77" t="s">
        <v>253</v>
      </c>
      <c r="F77" t="s">
        <v>254</v>
      </c>
    </row>
    <row r="78" spans="1:6">
      <c r="A78" t="s">
        <v>255</v>
      </c>
      <c r="B78">
        <v>1762053126.857001</v>
      </c>
      <c r="C78" t="s">
        <v>256</v>
      </c>
      <c r="D78" t="s">
        <v>257</v>
      </c>
      <c r="E78" t="s">
        <v>258</v>
      </c>
      <c r="F78" t="s">
        <v>259</v>
      </c>
    </row>
    <row r="79" spans="1:6">
      <c r="A79" t="s">
        <v>260</v>
      </c>
      <c r="B79">
        <v>811340498.6990705</v>
      </c>
      <c r="C79" t="s">
        <v>256</v>
      </c>
      <c r="D79" t="s">
        <v>261</v>
      </c>
      <c r="E79" t="s">
        <v>262</v>
      </c>
      <c r="F79" t="s">
        <v>259</v>
      </c>
    </row>
    <row r="80" spans="1:6">
      <c r="A80" t="s">
        <v>263</v>
      </c>
      <c r="B80">
        <v>1655845782.47523</v>
      </c>
      <c r="C80" t="s">
        <v>256</v>
      </c>
      <c r="D80" t="s">
        <v>257</v>
      </c>
      <c r="E80" t="s">
        <v>264</v>
      </c>
      <c r="F80" t="s">
        <v>259</v>
      </c>
    </row>
    <row r="81" spans="1:6">
      <c r="A81" t="s">
        <v>265</v>
      </c>
      <c r="B81">
        <v>106207344.3817705</v>
      </c>
      <c r="C81" t="s">
        <v>256</v>
      </c>
      <c r="D81" t="s">
        <v>257</v>
      </c>
      <c r="E81" t="s">
        <v>266</v>
      </c>
      <c r="F81" t="s">
        <v>259</v>
      </c>
    </row>
    <row r="84" spans="1:6">
      <c r="A84" t="s">
        <v>267</v>
      </c>
      <c r="B84" t="s">
        <v>268</v>
      </c>
    </row>
    <row r="85" spans="1:6">
      <c r="A85" t="s">
        <v>269</v>
      </c>
      <c r="B85" t="s">
        <v>270</v>
      </c>
    </row>
    <row r="86" spans="1:6">
      <c r="A86" t="s">
        <v>271</v>
      </c>
      <c r="B86" t="s">
        <v>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G78"/>
  <sheetViews>
    <sheetView workbookViewId="0"/>
  </sheetViews>
  <sheetFormatPr defaultRowHeight="15"/>
  <sheetData>
    <row r="2" spans="1:7">
      <c r="A2" t="s">
        <v>273</v>
      </c>
    </row>
    <row r="3" spans="1:7">
      <c r="A3" t="s">
        <v>274</v>
      </c>
    </row>
    <row r="5" spans="1:7">
      <c r="A5" t="s">
        <v>2</v>
      </c>
      <c r="B5" t="s">
        <v>275</v>
      </c>
      <c r="C5" t="s">
        <v>276</v>
      </c>
      <c r="D5" t="s">
        <v>277</v>
      </c>
      <c r="E5" t="s">
        <v>278</v>
      </c>
      <c r="F5" t="s">
        <v>279</v>
      </c>
      <c r="G5" t="s">
        <v>280</v>
      </c>
    </row>
    <row r="6" spans="1:7">
      <c r="A6" t="s">
        <v>3</v>
      </c>
      <c r="B6">
        <f>'SAM_73'!BW6</f>
        <v>2865510018.7044344</v>
      </c>
      <c r="C6">
        <f>'SAM_73'!B79</f>
        <v>2865510018.704438</v>
      </c>
      <c r="D6">
        <f>B6-C6</f>
        <v>-3.814697265625e-06</v>
      </c>
      <c r="E6">
        <f>ABS(D6)</f>
        <v>3.814697265625e-06</v>
      </c>
      <c r="F6">
        <f>E6/MAX(ABS(B6),ABS(C6),1)</f>
        <v>1.3312454818600533e-15</v>
      </c>
      <c r="G6" t="str">
        <f>IF(E6&lt;=0.001,"Pass","Difference detected")</f>
        <v>Pass</v>
      </c>
    </row>
    <row r="7" spans="1:7">
      <c r="A7" t="s">
        <v>4</v>
      </c>
      <c r="B7">
        <f>'SAM_73'!BW7</f>
        <v>69435713.29015894</v>
      </c>
      <c r="C7">
        <f>'SAM_73'!C79</f>
        <v>69435713.29015902</v>
      </c>
      <c r="D7">
        <f>B7-C7</f>
        <v>-7.450580596923828e-08</v>
      </c>
      <c r="E7">
        <f>ABS(D7)</f>
        <v>7.450580596923828e-08</v>
      </c>
      <c r="F7">
        <f>E7/MAX(ABS(B7),ABS(C7),1)</f>
        <v>1.0730185150960037e-15</v>
      </c>
      <c r="G7" t="str">
        <f>IF(E7&lt;=0.001,"Pass","Difference detected")</f>
        <v>Pass</v>
      </c>
    </row>
    <row r="8" spans="1:7">
      <c r="A8" t="s">
        <v>5</v>
      </c>
      <c r="B8">
        <f>'SAM_73'!BW8</f>
        <v>69261410.76434307</v>
      </c>
      <c r="C8">
        <f>'SAM_73'!D79</f>
        <v>69261410.76434304</v>
      </c>
      <c r="D8">
        <f>B8-C8</f>
        <v>2.9802322387695312e-08</v>
      </c>
      <c r="E8">
        <f>ABS(D8)</f>
        <v>2.9802322387695312e-08</v>
      </c>
      <c r="F8">
        <f>E8/MAX(ABS(B8),ABS(C8),1)</f>
        <v>4.302875448075344e-16</v>
      </c>
      <c r="G8" t="str">
        <f>IF(E8&lt;=0.001,"Pass","Difference detected")</f>
        <v>Pass</v>
      </c>
    </row>
    <row r="9" spans="1:7">
      <c r="A9" t="s">
        <v>6</v>
      </c>
      <c r="B9">
        <f>'SAM_73'!BW9</f>
        <v>1526026343.486239</v>
      </c>
      <c r="C9">
        <f>'SAM_73'!E79</f>
        <v>1526026343.4862401</v>
      </c>
      <c r="D9">
        <f>B9-C9</f>
        <v>-1.1920928955078125e-06</v>
      </c>
      <c r="E9">
        <f>ABS(D9)</f>
        <v>1.1920928955078125e-06</v>
      </c>
      <c r="F9">
        <f>E9/MAX(ABS(B9),ABS(C9),1)</f>
        <v>7.811745194283151e-16</v>
      </c>
      <c r="G9" t="str">
        <f>IF(E9&lt;=0.001,"Pass","Difference detected")</f>
        <v>Pass</v>
      </c>
    </row>
    <row r="10" spans="1:7">
      <c r="A10" t="s">
        <v>7</v>
      </c>
      <c r="B10">
        <f>'SAM_73'!BW10</f>
        <v>3114057519.65919</v>
      </c>
      <c r="C10">
        <f>'SAM_73'!F79</f>
        <v>3114057519.659195</v>
      </c>
      <c r="D10">
        <f>B10-C10</f>
        <v>-4.76837158203125e-06</v>
      </c>
      <c r="E10">
        <f>ABS(D10)</f>
        <v>4.76837158203125e-06</v>
      </c>
      <c r="F10">
        <f>E10/MAX(ABS(B10),ABS(C10),1)</f>
        <v>1.5312406890137035e-15</v>
      </c>
      <c r="G10" t="str">
        <f>IF(E10&lt;=0.001,"Pass","Difference detected")</f>
        <v>Pass</v>
      </c>
    </row>
    <row r="11" spans="1:7">
      <c r="A11" t="s">
        <v>8</v>
      </c>
      <c r="B11">
        <f>'SAM_73'!BW11</f>
        <v>2392305146.4110575</v>
      </c>
      <c r="C11">
        <f>'SAM_73'!G79</f>
        <v>2392305146.41106</v>
      </c>
      <c r="D11">
        <f>B11-C11</f>
        <v>-2.384185791015625e-06</v>
      </c>
      <c r="E11">
        <f>ABS(D11)</f>
        <v>2.384185791015625e-06</v>
      </c>
      <c r="F11">
        <f>E11/MAX(ABS(B11),ABS(C11),1)</f>
        <v>9.966060536183623e-16</v>
      </c>
      <c r="G11" t="str">
        <f>IF(E11&lt;=0.001,"Pass","Difference detected")</f>
        <v>Pass</v>
      </c>
    </row>
    <row r="12" spans="1:7">
      <c r="A12" t="s">
        <v>9</v>
      </c>
      <c r="B12">
        <f>'SAM_73'!BW12</f>
        <v>299266830.57546544</v>
      </c>
      <c r="C12">
        <f>'SAM_73'!H79</f>
        <v>299266830.575466</v>
      </c>
      <c r="D12">
        <f>B12-C12</f>
        <v>-5.364418029785156e-07</v>
      </c>
      <c r="E12">
        <f>ABS(D12)</f>
        <v>5.364418029785156e-07</v>
      </c>
      <c r="F12">
        <f>E12/MAX(ABS(B12),ABS(C12),1)</f>
        <v>1.7925200796459176e-15</v>
      </c>
      <c r="G12" t="str">
        <f>IF(E12&lt;=0.001,"Pass","Difference detected")</f>
        <v>Pass</v>
      </c>
    </row>
    <row r="13" spans="1:7">
      <c r="A13" t="s">
        <v>10</v>
      </c>
      <c r="B13">
        <f>'SAM_73'!BW13</f>
        <v>543878079.0436814</v>
      </c>
      <c r="C13">
        <f>'SAM_73'!I79</f>
        <v>543878079.0436822</v>
      </c>
      <c r="D13">
        <f>B13-C13</f>
        <v>-8.344650268554688e-07</v>
      </c>
      <c r="E13">
        <f>ABS(D13)</f>
        <v>8.344650268554688e-07</v>
      </c>
      <c r="F13">
        <f>E13/MAX(ABS(B13),ABS(C13),1)</f>
        <v>1.5342869275458475e-15</v>
      </c>
      <c r="G13" t="str">
        <f>IF(E13&lt;=0.001,"Pass","Difference detected")</f>
        <v>Pass</v>
      </c>
    </row>
    <row r="14" spans="1:7">
      <c r="A14" t="s">
        <v>11</v>
      </c>
      <c r="B14">
        <f>'SAM_73'!BW14</f>
        <v>121180388.63072114</v>
      </c>
      <c r="C14">
        <f>'SAM_73'!J79</f>
        <v>121180388.63072136</v>
      </c>
      <c r="D14">
        <f>B14-C14</f>
        <v>-2.2351741790771484e-07</v>
      </c>
      <c r="E14">
        <f>ABS(D14)</f>
        <v>2.2351741790771484e-07</v>
      </c>
      <c r="F14">
        <f>E14/MAX(ABS(B14),ABS(C14),1)</f>
        <v>1.8445015768091807e-15</v>
      </c>
      <c r="G14" t="str">
        <f>IF(E14&lt;=0.001,"Pass","Difference detected")</f>
        <v>Pass</v>
      </c>
    </row>
    <row r="15" spans="1:7">
      <c r="A15" t="s">
        <v>12</v>
      </c>
      <c r="B15">
        <f>'SAM_73'!BW15</f>
        <v>1481020712.4404664</v>
      </c>
      <c r="C15">
        <f>'SAM_73'!K79</f>
        <v>1481020712.4404693</v>
      </c>
      <c r="D15">
        <f>B15-C15</f>
        <v>-2.86102294921875e-06</v>
      </c>
      <c r="E15">
        <f>ABS(D15)</f>
        <v>2.86102294921875e-06</v>
      </c>
      <c r="F15">
        <f>E15/MAX(ABS(B15),ABS(C15),1)</f>
        <v>1.931791314723933e-15</v>
      </c>
      <c r="G15" t="str">
        <f>IF(E15&lt;=0.001,"Pass","Difference detected")</f>
        <v>Pass</v>
      </c>
    </row>
    <row r="16" spans="1:7">
      <c r="A16" t="s">
        <v>13</v>
      </c>
      <c r="B16">
        <f>'SAM_73'!BW16</f>
        <v>1640432240.0340443</v>
      </c>
      <c r="C16">
        <f>'SAM_73'!L79</f>
        <v>1640432240.0340457</v>
      </c>
      <c r="D16">
        <f>B16-C16</f>
        <v>-1.430511474609375e-06</v>
      </c>
      <c r="E16">
        <f>ABS(D16)</f>
        <v>1.430511474609375e-06</v>
      </c>
      <c r="F16">
        <f>E16/MAX(ABS(B16),ABS(C16),1)</f>
        <v>8.720332603190522e-16</v>
      </c>
      <c r="G16" t="str">
        <f>IF(E16&lt;=0.001,"Pass","Difference detected")</f>
        <v>Pass</v>
      </c>
    </row>
    <row r="17" spans="1:7">
      <c r="A17" t="s">
        <v>14</v>
      </c>
      <c r="B17">
        <f>'SAM_73'!BW17</f>
        <v>307369079.5761586</v>
      </c>
      <c r="C17">
        <f>'SAM_73'!M79</f>
        <v>307369079.57615864</v>
      </c>
      <c r="D17">
        <f>B17-C17</f>
        <v>-5.960464477539063e-08</v>
      </c>
      <c r="E17">
        <f>ABS(D17)</f>
        <v>5.960464477539063e-08</v>
      </c>
      <c r="F17">
        <f>E17/MAX(ABS(B17),ABS(C17),1)</f>
        <v>1.9391880555318523e-16</v>
      </c>
      <c r="G17" t="str">
        <f>IF(E17&lt;=0.001,"Pass","Difference detected")</f>
        <v>Pass</v>
      </c>
    </row>
    <row r="18" spans="1:7">
      <c r="A18" t="s">
        <v>15</v>
      </c>
      <c r="B18">
        <f>'SAM_73'!BW18</f>
        <v>1020135260.5059881</v>
      </c>
      <c r="C18">
        <f>'SAM_73'!N79</f>
        <v>1020135260.5059894</v>
      </c>
      <c r="D18">
        <f>B18-C18</f>
        <v>-1.3113021850585938e-06</v>
      </c>
      <c r="E18">
        <f>ABS(D18)</f>
        <v>1.3113021850585938e-06</v>
      </c>
      <c r="F18">
        <f>E18/MAX(ABS(B18),ABS(C18),1)</f>
        <v>1.2854199201076384e-15</v>
      </c>
      <c r="G18" t="str">
        <f>IF(E18&lt;=0.001,"Pass","Difference detected")</f>
        <v>Pass</v>
      </c>
    </row>
    <row r="19" spans="1:7">
      <c r="A19" t="s">
        <v>16</v>
      </c>
      <c r="B19">
        <f>'SAM_73'!BW19</f>
        <v>1062588668.5276412</v>
      </c>
      <c r="C19">
        <f>'SAM_73'!O79</f>
        <v>1062588668.5276431</v>
      </c>
      <c r="D19">
        <f>B19-C19</f>
        <v>-1.9073486328125e-06</v>
      </c>
      <c r="E19">
        <f>ABS(D19)</f>
        <v>1.9073486328125e-06</v>
      </c>
      <c r="F19">
        <f>E19/MAX(ABS(B19),ABS(C19),1)</f>
        <v>1.7950018566030666e-15</v>
      </c>
      <c r="G19" t="str">
        <f>IF(E19&lt;=0.001,"Pass","Difference detected")</f>
        <v>Pass</v>
      </c>
    </row>
    <row r="20" spans="1:7">
      <c r="A20" t="s">
        <v>17</v>
      </c>
      <c r="B20">
        <f>'SAM_73'!BW20</f>
        <v>3131001584.6051536</v>
      </c>
      <c r="C20">
        <f>'SAM_73'!P79</f>
        <v>3131001584.605157</v>
      </c>
      <c r="D20">
        <f>B20-C20</f>
        <v>-3.337860107421875e-06</v>
      </c>
      <c r="E20">
        <f>ABS(D20)</f>
        <v>3.337860107421875e-06</v>
      </c>
      <c r="F20">
        <f>E20/MAX(ABS(B20),ABS(C20),1)</f>
        <v>1.0660678435404894e-15</v>
      </c>
      <c r="G20" t="str">
        <f>IF(E20&lt;=0.001,"Pass","Difference detected")</f>
        <v>Pass</v>
      </c>
    </row>
    <row r="21" spans="1:7">
      <c r="A21" t="s">
        <v>18</v>
      </c>
      <c r="B21">
        <f>'SAM_73'!BW21</f>
        <v>1400023458.5538783</v>
      </c>
      <c r="C21">
        <f>'SAM_73'!Q79</f>
        <v>1400023458.5538788</v>
      </c>
      <c r="D21">
        <f>B21-C21</f>
        <v>-4.76837158203125e-07</v>
      </c>
      <c r="E21">
        <f>ABS(D21)</f>
        <v>4.76837158203125e-07</v>
      </c>
      <c r="F21">
        <f>E21/MAX(ABS(B21),ABS(C21),1)</f>
        <v>3.4059226314369237e-16</v>
      </c>
      <c r="G21" t="str">
        <f>IF(E21&lt;=0.001,"Pass","Difference detected")</f>
        <v>Pass</v>
      </c>
    </row>
    <row r="22" spans="1:7">
      <c r="A22" t="s">
        <v>19</v>
      </c>
      <c r="B22">
        <f>'SAM_73'!BW22</f>
        <v>722237056.8545693</v>
      </c>
      <c r="C22">
        <f>'SAM_73'!R79</f>
        <v>722237056.8545702</v>
      </c>
      <c r="D22">
        <f>B22-C22</f>
        <v>-8.344650268554688e-07</v>
      </c>
      <c r="E22">
        <f>ABS(D22)</f>
        <v>8.344650268554688e-07</v>
      </c>
      <c r="F22">
        <f>E22/MAX(ABS(B22),ABS(C22),1)</f>
        <v>1.1553893821090612e-15</v>
      </c>
      <c r="G22" t="str">
        <f>IF(E22&lt;=0.001,"Pass","Difference detected")</f>
        <v>Pass</v>
      </c>
    </row>
    <row r="23" spans="1:7">
      <c r="A23" t="s">
        <v>20</v>
      </c>
      <c r="B23">
        <f>'SAM_73'!BW23</f>
        <v>1312067406.343775</v>
      </c>
      <c r="C23">
        <f>'SAM_73'!S79</f>
        <v>1312067406.3437762</v>
      </c>
      <c r="D23">
        <f>B23-C23</f>
        <v>-1.1920928955078125e-06</v>
      </c>
      <c r="E23">
        <f>ABS(D23)</f>
        <v>1.1920928955078125e-06</v>
      </c>
      <c r="F23">
        <f>E23/MAX(ABS(B23),ABS(C23),1)</f>
        <v>9.085607109391687e-16</v>
      </c>
      <c r="G23" t="str">
        <f>IF(E23&lt;=0.001,"Pass","Difference detected")</f>
        <v>Pass</v>
      </c>
    </row>
    <row r="24" spans="1:7">
      <c r="A24" t="s">
        <v>21</v>
      </c>
      <c r="B24">
        <f>'SAM_73'!BW24</f>
        <v>1545797579.0828981</v>
      </c>
      <c r="C24">
        <f>'SAM_73'!T79</f>
        <v>1545797579.0828998</v>
      </c>
      <c r="D24">
        <f>B24-C24</f>
        <v>-1.6689300537109375e-06</v>
      </c>
      <c r="E24">
        <f>ABS(D24)</f>
        <v>1.6689300537109375e-06</v>
      </c>
      <c r="F24">
        <f>E24/MAX(ABS(B24),ABS(C24),1)</f>
        <v>1.0796562734307621e-15</v>
      </c>
      <c r="G24" t="str">
        <f>IF(E24&lt;=0.001,"Pass","Difference detected")</f>
        <v>Pass</v>
      </c>
    </row>
    <row r="25" spans="1:7">
      <c r="A25" t="s">
        <v>22</v>
      </c>
      <c r="B25">
        <f>'SAM_73'!BW25</f>
        <v>2337412973.3754764</v>
      </c>
      <c r="C25">
        <f>'SAM_73'!U79</f>
        <v>2337412973.3754787</v>
      </c>
      <c r="D25">
        <f>B25-C25</f>
        <v>-2.384185791015625e-06</v>
      </c>
      <c r="E25">
        <f>ABS(D25)</f>
        <v>2.384185791015625e-06</v>
      </c>
      <c r="F25">
        <f>E25/MAX(ABS(B25),ABS(C25),1)</f>
        <v>1.0200105065612779e-15</v>
      </c>
      <c r="G25" t="str">
        <f>IF(E25&lt;=0.001,"Pass","Difference detected")</f>
        <v>Pass</v>
      </c>
    </row>
    <row r="26" spans="1:7">
      <c r="A26" t="s">
        <v>23</v>
      </c>
      <c r="B26">
        <f>'SAM_73'!BW26</f>
        <v>606850312.5784143</v>
      </c>
      <c r="C26">
        <f>'SAM_73'!V79</f>
        <v>606850312.5784153</v>
      </c>
      <c r="D26">
        <f>B26-C26</f>
        <v>-9.5367431640625e-07</v>
      </c>
      <c r="E26">
        <f>ABS(D26)</f>
        <v>9.5367431640625e-07</v>
      </c>
      <c r="F26">
        <f>E26/MAX(ABS(B26),ABS(C26),1)</f>
        <v>1.571514913379927e-15</v>
      </c>
      <c r="G26" t="str">
        <f>IF(E26&lt;=0.001,"Pass","Difference detected")</f>
        <v>Pass</v>
      </c>
    </row>
    <row r="27" spans="1:7">
      <c r="A27" t="s">
        <v>24</v>
      </c>
      <c r="B27">
        <f>'SAM_73'!BW27</f>
        <v>747170210.0175626</v>
      </c>
      <c r="C27">
        <f>'SAM_73'!W79</f>
        <v>747170210.0175636</v>
      </c>
      <c r="D27">
        <f>B27-C27</f>
        <v>-9.5367431640625e-07</v>
      </c>
      <c r="E27">
        <f>ABS(D27)</f>
        <v>9.5367431640625e-07</v>
      </c>
      <c r="F27">
        <f>E27/MAX(ABS(B27),ABS(C27),1)</f>
        <v>1.2763816110706986e-15</v>
      </c>
      <c r="G27" t="str">
        <f>IF(E27&lt;=0.001,"Pass","Difference detected")</f>
        <v>Pass</v>
      </c>
    </row>
    <row r="28" spans="1:7">
      <c r="A28" t="s">
        <v>25</v>
      </c>
      <c r="B28">
        <f>'SAM_73'!BW28</f>
        <v>356178284.2862053</v>
      </c>
      <c r="C28">
        <f>'SAM_73'!X79</f>
        <v>356178284.2862059</v>
      </c>
      <c r="D28">
        <f>B28-C28</f>
        <v>-5.960464477539062e-07</v>
      </c>
      <c r="E28">
        <f>ABS(D28)</f>
        <v>5.960464477539062e-07</v>
      </c>
      <c r="F28">
        <f>E28/MAX(ABS(B28),ABS(C28),1)</f>
        <v>1.6734497133883521e-15</v>
      </c>
      <c r="G28" t="str">
        <f>IF(E28&lt;=0.001,"Pass","Difference detected")</f>
        <v>Pass</v>
      </c>
    </row>
    <row r="29" spans="1:7">
      <c r="A29" t="s">
        <v>26</v>
      </c>
      <c r="B29">
        <f>'SAM_73'!BW29</f>
        <v>2725179712.2987976</v>
      </c>
      <c r="C29">
        <f>'SAM_73'!Y79</f>
        <v>2725179712.2988014</v>
      </c>
      <c r="D29">
        <f>B29-C29</f>
        <v>-3.814697265625e-06</v>
      </c>
      <c r="E29">
        <f>ABS(D29)</f>
        <v>3.814697265625e-06</v>
      </c>
      <c r="F29">
        <f>E29/MAX(ABS(B29),ABS(C29),1)</f>
        <v>1.3997965889769324e-15</v>
      </c>
      <c r="G29" t="str">
        <f>IF(E29&lt;=0.001,"Pass","Difference detected")</f>
        <v>Pass</v>
      </c>
    </row>
    <row r="30" spans="1:7">
      <c r="A30" t="s">
        <v>27</v>
      </c>
      <c r="B30">
        <f>'SAM_73'!BW30</f>
        <v>85206288.97198913</v>
      </c>
      <c r="C30">
        <f>'SAM_73'!Z79</f>
        <v>85206288.97198918</v>
      </c>
      <c r="D30">
        <f>B30-C30</f>
        <v>-5.960464477539063e-08</v>
      </c>
      <c r="E30">
        <f>ABS(D30)</f>
        <v>5.960464477539063e-08</v>
      </c>
      <c r="F30">
        <f>E30/MAX(ABS(B30),ABS(C30),1)</f>
        <v>6.995333970592842e-16</v>
      </c>
      <c r="G30" t="str">
        <f>IF(E30&lt;=0.001,"Pass","Difference detected")</f>
        <v>Pass</v>
      </c>
    </row>
    <row r="31" spans="1:7">
      <c r="A31" t="s">
        <v>28</v>
      </c>
      <c r="B31">
        <f>'SAM_73'!BW31</f>
        <v>511066819.19681996</v>
      </c>
      <c r="C31">
        <f>'SAM_73'!AA79</f>
        <v>511066819.1968206</v>
      </c>
      <c r="D31">
        <f>B31-C31</f>
        <v>-6.556510925292969e-07</v>
      </c>
      <c r="E31">
        <f>ABS(D31)</f>
        <v>6.556510925292969e-07</v>
      </c>
      <c r="F31">
        <f>E31/MAX(ABS(B31),ABS(C31),1)</f>
        <v>1.2829067900743412e-15</v>
      </c>
      <c r="G31" t="str">
        <f>IF(E31&lt;=0.001,"Pass","Difference detected")</f>
        <v>Pass</v>
      </c>
    </row>
    <row r="32" spans="1:7">
      <c r="A32" t="s">
        <v>29</v>
      </c>
      <c r="B32">
        <f>'SAM_73'!BW32</f>
        <v>4825169031.095345</v>
      </c>
      <c r="C32">
        <f>'SAM_73'!AB79</f>
        <v>4825169031.095346</v>
      </c>
      <c r="D32">
        <f>B32-C32</f>
        <v>-1.9073486328125e-06</v>
      </c>
      <c r="E32">
        <f>ABS(D32)</f>
        <v>1.9073486328125e-06</v>
      </c>
      <c r="F32">
        <f>E32/MAX(ABS(B32),ABS(C32),1)</f>
        <v>3.9529156813383566e-16</v>
      </c>
      <c r="G32" t="str">
        <f>IF(E32&lt;=0.001,"Pass","Difference detected")</f>
        <v>Pass</v>
      </c>
    </row>
    <row r="33" spans="1:7">
      <c r="A33" t="s">
        <v>30</v>
      </c>
      <c r="B33">
        <f>'SAM_73'!BW33</f>
        <v>967498065.3878787</v>
      </c>
      <c r="C33">
        <f>'SAM_73'!AC79</f>
        <v>967498065.3878791</v>
      </c>
      <c r="D33">
        <f>B33-C33</f>
        <v>-4.76837158203125e-07</v>
      </c>
      <c r="E33">
        <f>ABS(D33)</f>
        <v>4.76837158203125e-07</v>
      </c>
      <c r="F33">
        <f>E33/MAX(ABS(B33),ABS(C33),1)</f>
        <v>4.928559293934676e-16</v>
      </c>
      <c r="G33" t="str">
        <f>IF(E33&lt;=0.001,"Pass","Difference detected")</f>
        <v>Pass</v>
      </c>
    </row>
    <row r="34" spans="1:7">
      <c r="A34" t="s">
        <v>31</v>
      </c>
      <c r="B34">
        <f>'SAM_73'!BW34</f>
        <v>2705688079.708003</v>
      </c>
      <c r="C34">
        <f>'SAM_73'!AD79</f>
        <v>2705688079.708001</v>
      </c>
      <c r="D34">
        <f>B34-C34</f>
        <v>1.9073486328125e-06</v>
      </c>
      <c r="E34">
        <f>ABS(D34)</f>
        <v>1.9073486328125e-06</v>
      </c>
      <c r="F34">
        <f>E34/MAX(ABS(B34),ABS(C34),1)</f>
        <v>7.049403244657604e-16</v>
      </c>
      <c r="G34" t="str">
        <f>IF(E34&lt;=0.001,"Pass","Difference detected")</f>
        <v>Pass</v>
      </c>
    </row>
    <row r="35" spans="1:7">
      <c r="A35" t="s">
        <v>32</v>
      </c>
      <c r="B35">
        <f>'SAM_73'!BW35</f>
        <v>2248057105.7135334</v>
      </c>
      <c r="C35">
        <f>'SAM_73'!AE79</f>
        <v>2248057105.7135344</v>
      </c>
      <c r="D35">
        <f>B35-C35</f>
        <v>-9.5367431640625e-07</v>
      </c>
      <c r="E35">
        <f>ABS(D35)</f>
        <v>9.5367431640625e-07</v>
      </c>
      <c r="F35">
        <f>E35/MAX(ABS(B35),ABS(C35),1)</f>
        <v>4.2422157069873604e-16</v>
      </c>
      <c r="G35" t="str">
        <f>IF(E35&lt;=0.001,"Pass","Difference detected")</f>
        <v>Pass</v>
      </c>
    </row>
    <row r="36" spans="1:7">
      <c r="A36" t="s">
        <v>33</v>
      </c>
      <c r="B36">
        <f>'SAM_73'!BW36</f>
        <v>2647414864.1664104</v>
      </c>
      <c r="C36">
        <f>'SAM_73'!AF79</f>
        <v>2647414864.166408</v>
      </c>
      <c r="D36">
        <f>B36-C36</f>
        <v>2.384185791015625e-06</v>
      </c>
      <c r="E36">
        <f>ABS(D36)</f>
        <v>2.384185791015625e-06</v>
      </c>
      <c r="F36">
        <f>E36/MAX(ABS(B36),ABS(C36),1)</f>
        <v>9.005712792831703e-16</v>
      </c>
      <c r="G36" t="str">
        <f>IF(E36&lt;=0.001,"Pass","Difference detected")</f>
        <v>Pass</v>
      </c>
    </row>
    <row r="37" spans="1:7">
      <c r="A37" t="s">
        <v>34</v>
      </c>
      <c r="B37">
        <f>'SAM_73'!BW37</f>
        <v>272914968.59743166</v>
      </c>
      <c r="C37">
        <f>'SAM_73'!AG79</f>
        <v>272914968.59743166</v>
      </c>
      <c r="D37">
        <f>B37-C37</f>
        <v>0.0</v>
      </c>
      <c r="E37">
        <f>ABS(D37)</f>
        <v>0.0</v>
      </c>
      <c r="F37">
        <f>E37/MAX(ABS(B37),ABS(C37),1)</f>
        <v>0.0</v>
      </c>
      <c r="G37" t="str">
        <f>IF(E37&lt;=0.001,"Pass","Difference detected")</f>
        <v>Pass</v>
      </c>
    </row>
    <row r="38" spans="1:7">
      <c r="A38" t="s">
        <v>35</v>
      </c>
      <c r="B38">
        <f>'SAM_73'!BW38</f>
        <v>699402882.0849158</v>
      </c>
      <c r="C38">
        <f>'SAM_73'!AH79</f>
        <v>699402882.0849159</v>
      </c>
      <c r="D38">
        <f>B38-C38</f>
        <v>-1.1920928955078125e-07</v>
      </c>
      <c r="E38">
        <f>ABS(D38)</f>
        <v>1.1920928955078125e-07</v>
      </c>
      <c r="F38">
        <f>E38/MAX(ABS(B38),ABS(C38),1)</f>
        <v>1.7044437848957536e-16</v>
      </c>
      <c r="G38" t="str">
        <f>IF(E38&lt;=0.001,"Pass","Difference detected")</f>
        <v>Pass</v>
      </c>
    </row>
    <row r="39" spans="1:7">
      <c r="A39" t="s">
        <v>36</v>
      </c>
      <c r="B39">
        <f>'SAM_73'!BW39</f>
        <v>991373972.2984391</v>
      </c>
      <c r="C39">
        <f>'SAM_73'!AI79</f>
        <v>991373972.2984407</v>
      </c>
      <c r="D39">
        <f>B39-C39</f>
        <v>-1.5497207641601562e-06</v>
      </c>
      <c r="E39">
        <f>ABS(D39)</f>
        <v>1.5497207641601562e-06</v>
      </c>
      <c r="F39">
        <f>E39/MAX(ABS(B39),ABS(C39),1)</f>
        <v>1.5632050139133896e-15</v>
      </c>
      <c r="G39" t="str">
        <f>IF(E39&lt;=0.001,"Pass","Difference detected")</f>
        <v>Pass</v>
      </c>
    </row>
    <row r="40" spans="1:7">
      <c r="A40" t="s">
        <v>37</v>
      </c>
      <c r="B40">
        <f>'SAM_73'!BW40</f>
        <v>172691715.01989156</v>
      </c>
      <c r="C40">
        <f>'SAM_73'!AJ79</f>
        <v>172691715.0198917</v>
      </c>
      <c r="D40">
        <f>B40-C40</f>
        <v>-1.4901161193847656e-07</v>
      </c>
      <c r="E40">
        <f>ABS(D40)</f>
        <v>1.4901161193847656e-07</v>
      </c>
      <c r="F40">
        <f>E40/MAX(ABS(B40),ABS(C40),1)</f>
        <v>8.628764380579143e-16</v>
      </c>
      <c r="G40" t="str">
        <f>IF(E40&lt;=0.001,"Pass","Difference detected")</f>
        <v>Pass</v>
      </c>
    </row>
    <row r="41" spans="1:7">
      <c r="A41" t="s">
        <v>38</v>
      </c>
      <c r="B41">
        <f>'SAM_73'!BW41</f>
        <v>1722207760.0184886</v>
      </c>
      <c r="C41">
        <f>'SAM_73'!AK79</f>
        <v>1722207760.0184906</v>
      </c>
      <c r="D41">
        <f>B41-C41</f>
        <v>-1.9073486328125e-06</v>
      </c>
      <c r="E41">
        <f>ABS(D41)</f>
        <v>1.9073486328125e-06</v>
      </c>
      <c r="F41">
        <f>E41/MAX(ABS(B41),ABS(C41),1)</f>
        <v>1.1075020546835892e-15</v>
      </c>
      <c r="G41" t="str">
        <f>IF(E41&lt;=0.001,"Pass","Difference detected")</f>
        <v>Pass</v>
      </c>
    </row>
    <row r="42" spans="1:7">
      <c r="A42" t="s">
        <v>39</v>
      </c>
      <c r="B42">
        <f>'SAM_73'!BW42</f>
        <v>114964896.61219487</v>
      </c>
      <c r="C42">
        <f>'SAM_73'!AL79</f>
        <v>114964896.61219504</v>
      </c>
      <c r="D42">
        <f>B42-C42</f>
        <v>-1.7881393432617188e-07</v>
      </c>
      <c r="E42">
        <f>ABS(D42)</f>
        <v>1.7881393432617188e-07</v>
      </c>
      <c r="F42">
        <f>E42/MAX(ABS(B42),ABS(C42),1)</f>
        <v>1.555378551153361e-15</v>
      </c>
      <c r="G42" t="str">
        <f>IF(E42&lt;=0.001,"Pass","Difference detected")</f>
        <v>Pass</v>
      </c>
    </row>
    <row r="43" spans="1:7">
      <c r="A43" t="s">
        <v>40</v>
      </c>
      <c r="B43">
        <f>'SAM_73'!BW43</f>
        <v>138104489.92425597</v>
      </c>
      <c r="C43">
        <f>'SAM_73'!AM79</f>
        <v>138104489.92425624</v>
      </c>
      <c r="D43">
        <f>B43-C43</f>
        <v>-2.682209014892578e-07</v>
      </c>
      <c r="E43">
        <f>ABS(D43)</f>
        <v>2.682209014892578e-07</v>
      </c>
      <c r="F43">
        <f>E43/MAX(ABS(B43),ABS(C43),1)</f>
        <v>1.942159169744331e-15</v>
      </c>
      <c r="G43" t="str">
        <f>IF(E43&lt;=0.001,"Pass","Difference detected")</f>
        <v>Pass</v>
      </c>
    </row>
    <row r="44" spans="1:7">
      <c r="A44" t="s">
        <v>41</v>
      </c>
      <c r="B44">
        <f>'SAM_73'!BW44</f>
        <v>266256446.7313324</v>
      </c>
      <c r="C44">
        <f>'SAM_73'!AN79</f>
        <v>266256446.7313327</v>
      </c>
      <c r="D44">
        <f>B44-C44</f>
        <v>-2.980232238769531e-07</v>
      </c>
      <c r="E44">
        <f>ABS(D44)</f>
        <v>2.980232238769531e-07</v>
      </c>
      <c r="F44">
        <f>E44/MAX(ABS(B44),ABS(C44),1)</f>
        <v>1.1193089502079731e-15</v>
      </c>
      <c r="G44" t="str">
        <f>IF(E44&lt;=0.001,"Pass","Difference detected")</f>
        <v>Pass</v>
      </c>
    </row>
    <row r="45" spans="1:7">
      <c r="A45" t="s">
        <v>42</v>
      </c>
      <c r="B45">
        <f>'SAM_73'!BW45</f>
        <v>635100782.2918394</v>
      </c>
      <c r="C45">
        <f>'SAM_73'!AO79</f>
        <v>635100782.2918403</v>
      </c>
      <c r="D45">
        <f>B45-C45</f>
        <v>-9.5367431640625e-07</v>
      </c>
      <c r="E45">
        <f>ABS(D45)</f>
        <v>9.5367431640625e-07</v>
      </c>
      <c r="F45">
        <f>E45/MAX(ABS(B45),ABS(C45),1)</f>
        <v>1.5016109930849044e-15</v>
      </c>
      <c r="G45" t="str">
        <f>IF(E45&lt;=0.001,"Pass","Difference detected")</f>
        <v>Pass</v>
      </c>
    </row>
    <row r="46" spans="1:7">
      <c r="A46" t="s">
        <v>43</v>
      </c>
      <c r="B46">
        <f>'SAM_73'!BW46</f>
        <v>1056680408.5944527</v>
      </c>
      <c r="C46">
        <f>'SAM_73'!AP79</f>
        <v>1056680408.5944548</v>
      </c>
      <c r="D46">
        <f>B46-C46</f>
        <v>-2.0265579223632812e-06</v>
      </c>
      <c r="E46">
        <f>ABS(D46)</f>
        <v>2.0265579223632812e-06</v>
      </c>
      <c r="F46">
        <f>E46/MAX(ABS(B46),ABS(C46),1)</f>
        <v>1.9178532183244606e-15</v>
      </c>
      <c r="G46" t="str">
        <f>IF(E46&lt;=0.001,"Pass","Difference detected")</f>
        <v>Pass</v>
      </c>
    </row>
    <row r="47" spans="1:7">
      <c r="A47" t="s">
        <v>44</v>
      </c>
      <c r="B47">
        <f>'SAM_73'!BW47</f>
        <v>433386598.03414416</v>
      </c>
      <c r="C47">
        <f>'SAM_73'!AQ79</f>
        <v>433386598.0341447</v>
      </c>
      <c r="D47">
        <f>B47-C47</f>
        <v>-5.364418029785156e-07</v>
      </c>
      <c r="E47">
        <f>ABS(D47)</f>
        <v>5.364418029785156e-07</v>
      </c>
      <c r="F47">
        <f>E47/MAX(ABS(B47),ABS(C47),1)</f>
        <v>1.237790474859704e-15</v>
      </c>
      <c r="G47" t="str">
        <f>IF(E47&lt;=0.001,"Pass","Difference detected")</f>
        <v>Pass</v>
      </c>
    </row>
    <row r="48" spans="1:7">
      <c r="A48" t="s">
        <v>45</v>
      </c>
      <c r="B48">
        <f>'SAM_73'!BW48</f>
        <v>145192817.4783797</v>
      </c>
      <c r="C48">
        <f>'SAM_73'!AR79</f>
        <v>145192817.47837988</v>
      </c>
      <c r="D48">
        <f>B48-C48</f>
        <v>-1.7881393432617188e-07</v>
      </c>
      <c r="E48">
        <f>ABS(D48)</f>
        <v>1.7881393432617188e-07</v>
      </c>
      <c r="F48">
        <f>E48/MAX(ABS(B48),ABS(C48),1)</f>
        <v>1.2315618460451627e-15</v>
      </c>
      <c r="G48" t="str">
        <f>IF(E48&lt;=0.001,"Pass","Difference detected")</f>
        <v>Pass</v>
      </c>
    </row>
    <row r="49" spans="1:7">
      <c r="A49" t="s">
        <v>46</v>
      </c>
      <c r="B49">
        <f>'SAM_73'!BW49</f>
        <v>1155547772.6310318</v>
      </c>
      <c r="C49">
        <f>'SAM_73'!AS79</f>
        <v>1155547772.6310327</v>
      </c>
      <c r="D49">
        <f>B49-C49</f>
        <v>-9.5367431640625e-07</v>
      </c>
      <c r="E49">
        <f>ABS(D49)</f>
        <v>9.5367431640625e-07</v>
      </c>
      <c r="F49">
        <f>E49/MAX(ABS(B49),ABS(C49),1)</f>
        <v>8.253006400893812e-16</v>
      </c>
      <c r="G49" t="str">
        <f>IF(E49&lt;=0.001,"Pass","Difference detected")</f>
        <v>Pass</v>
      </c>
    </row>
    <row r="50" spans="1:7">
      <c r="A50" t="s">
        <v>47</v>
      </c>
      <c r="B50">
        <f>'SAM_73'!BW50</f>
        <v>939200305.2809546</v>
      </c>
      <c r="C50">
        <f>'SAM_73'!AT79</f>
        <v>939200305.2809545</v>
      </c>
      <c r="D50">
        <f>B50-C50</f>
        <v>1.1920928955078125e-07</v>
      </c>
      <c r="E50">
        <f>ABS(D50)</f>
        <v>1.1920928955078125e-07</v>
      </c>
      <c r="F50">
        <f>E50/MAX(ABS(B50),ABS(C50),1)</f>
        <v>1.2692637436390175e-16</v>
      </c>
      <c r="G50" t="str">
        <f>IF(E50&lt;=0.001,"Pass","Difference detected")</f>
        <v>Pass</v>
      </c>
    </row>
    <row r="51" spans="1:7">
      <c r="A51" t="s">
        <v>48</v>
      </c>
      <c r="B51">
        <f>'SAM_73'!BW51</f>
        <v>441054481.95273525</v>
      </c>
      <c r="C51">
        <f>'SAM_73'!AU79</f>
        <v>441054481.95273584</v>
      </c>
      <c r="D51">
        <f>B51-C51</f>
        <v>-5.960464477539062e-07</v>
      </c>
      <c r="E51">
        <f>ABS(D51)</f>
        <v>5.960464477539062e-07</v>
      </c>
      <c r="F51">
        <f>E51/MAX(ABS(B51),ABS(C51),1)</f>
        <v>1.3514122906425416e-15</v>
      </c>
      <c r="G51" t="str">
        <f>IF(E51&lt;=0.001,"Pass","Difference detected")</f>
        <v>Pass</v>
      </c>
    </row>
    <row r="52" spans="1:7">
      <c r="A52" t="s">
        <v>49</v>
      </c>
      <c r="B52">
        <f>'SAM_73'!BW52</f>
        <v>387287348.3935373</v>
      </c>
      <c r="C52">
        <f>'SAM_73'!AV79</f>
        <v>387287348.3935381</v>
      </c>
      <c r="D52">
        <f>B52-C52</f>
        <v>-8.344650268554688e-07</v>
      </c>
      <c r="E52">
        <f>ABS(D52)</f>
        <v>8.344650268554688e-07</v>
      </c>
      <c r="F52">
        <f>E52/MAX(ABS(B52),ABS(C52),1)</f>
        <v>2.1546405538854205e-15</v>
      </c>
      <c r="G52" t="str">
        <f>IF(E52&lt;=0.001,"Pass","Difference detected")</f>
        <v>Pass</v>
      </c>
    </row>
    <row r="53" spans="1:7">
      <c r="A53" t="s">
        <v>50</v>
      </c>
      <c r="B53">
        <f>'SAM_73'!BW53</f>
        <v>30047802.134657253</v>
      </c>
      <c r="C53">
        <f>'SAM_73'!AW79</f>
        <v>30047802.1346573</v>
      </c>
      <c r="D53">
        <f>B53-C53</f>
        <v>-4.842877388000488e-08</v>
      </c>
      <c r="E53">
        <f>ABS(D53)</f>
        <v>4.842877388000488e-08</v>
      </c>
      <c r="F53">
        <f>E53/MAX(ABS(B53),ABS(C53),1)</f>
        <v>1.6117243338788785e-15</v>
      </c>
      <c r="G53" t="str">
        <f>IF(E53&lt;=0.001,"Pass","Difference detected")</f>
        <v>Pass</v>
      </c>
    </row>
    <row r="54" spans="1:7">
      <c r="A54" t="s">
        <v>51</v>
      </c>
      <c r="B54">
        <f>'SAM_73'!BW54</f>
        <v>231340042.7373124</v>
      </c>
      <c r="C54">
        <f>'SAM_73'!AX79</f>
        <v>231340042.7373128</v>
      </c>
      <c r="D54">
        <f>B54-C54</f>
        <v>-3.8743019104003906e-07</v>
      </c>
      <c r="E54">
        <f>ABS(D54)</f>
        <v>3.8743019104003906e-07</v>
      </c>
      <c r="F54">
        <f>E54/MAX(ABS(B54),ABS(C54),1)</f>
        <v>1.674721706003863e-15</v>
      </c>
      <c r="G54" t="str">
        <f>IF(E54&lt;=0.001,"Pass","Difference detected")</f>
        <v>Pass</v>
      </c>
    </row>
    <row r="55" spans="1:7">
      <c r="A55" t="s">
        <v>52</v>
      </c>
      <c r="B55">
        <f>'SAM_73'!BW55</f>
        <v>110663102.79701144</v>
      </c>
      <c r="C55">
        <f>'SAM_73'!AY79</f>
        <v>110663102.79701155</v>
      </c>
      <c r="D55">
        <f>B55-C55</f>
        <v>-1.1920928955078125e-07</v>
      </c>
      <c r="E55">
        <f>ABS(D55)</f>
        <v>1.1920928955078125e-07</v>
      </c>
      <c r="F55">
        <f>E55/MAX(ABS(B55),ABS(C55),1)</f>
        <v>1.0772270660930761e-15</v>
      </c>
      <c r="G55" t="str">
        <f>IF(E55&lt;=0.001,"Pass","Difference detected")</f>
        <v>Pass</v>
      </c>
    </row>
    <row r="56" spans="1:7">
      <c r="A56" t="s">
        <v>53</v>
      </c>
      <c r="B56">
        <f>'SAM_73'!BW56</f>
        <v>247388737.11632115</v>
      </c>
      <c r="C56">
        <f>'SAM_73'!AZ79</f>
        <v>247388737.11632153</v>
      </c>
      <c r="D56">
        <f>B56-C56</f>
        <v>-3.8743019104003906e-07</v>
      </c>
      <c r="E56">
        <f>ABS(D56)</f>
        <v>3.8743019104003906e-07</v>
      </c>
      <c r="F56">
        <f>E56/MAX(ABS(B56),ABS(C56),1)</f>
        <v>1.5660785351673889e-15</v>
      </c>
      <c r="G56" t="str">
        <f>IF(E56&lt;=0.001,"Pass","Difference detected")</f>
        <v>Pass</v>
      </c>
    </row>
    <row r="57" spans="1:7">
      <c r="A57" t="s">
        <v>54</v>
      </c>
      <c r="B57">
        <f>'SAM_73'!BW57</f>
        <v>253498485.2842852</v>
      </c>
      <c r="C57">
        <f>'SAM_73'!BA79</f>
        <v>253498485.28428525</v>
      </c>
      <c r="D57">
        <f>B57-C57</f>
        <v>-5.960464477539063e-08</v>
      </c>
      <c r="E57">
        <f>ABS(D57)</f>
        <v>5.960464477539063e-08</v>
      </c>
      <c r="F57">
        <f>E57/MAX(ABS(B57),ABS(C57),1)</f>
        <v>2.351282087881004e-16</v>
      </c>
      <c r="G57" t="str">
        <f>IF(E57&lt;=0.001,"Pass","Difference detected")</f>
        <v>Pass</v>
      </c>
    </row>
    <row r="58" spans="1:7">
      <c r="A58" t="s">
        <v>55</v>
      </c>
      <c r="B58">
        <f>'SAM_73'!BW58</f>
        <v>388641466.4631742</v>
      </c>
      <c r="C58">
        <f>'SAM_73'!BB79</f>
        <v>388641466.46317464</v>
      </c>
      <c r="D58">
        <f>B58-C58</f>
        <v>-4.172325134277344e-07</v>
      </c>
      <c r="E58">
        <f>ABS(D58)</f>
        <v>4.172325134277344e-07</v>
      </c>
      <c r="F58">
        <f>E58/MAX(ABS(B58),ABS(C58),1)</f>
        <v>1.0735666402886756e-15</v>
      </c>
      <c r="G58" t="str">
        <f>IF(E58&lt;=0.001,"Pass","Difference detected")</f>
        <v>Pass</v>
      </c>
    </row>
    <row r="59" spans="1:7">
      <c r="A59" t="s">
        <v>56</v>
      </c>
      <c r="B59">
        <f>'SAM_73'!BW59</f>
        <v>515451829.21485054</v>
      </c>
      <c r="C59">
        <f>'SAM_73'!BC79</f>
        <v>515451829.2148513</v>
      </c>
      <c r="D59">
        <f>B59-C59</f>
        <v>-7.748603820800781e-07</v>
      </c>
      <c r="E59">
        <f>ABS(D59)</f>
        <v>7.748603820800781e-07</v>
      </c>
      <c r="F59">
        <f>E59/MAX(ABS(B59),ABS(C59),1)</f>
        <v>1.5032643947745111e-15</v>
      </c>
      <c r="G59" t="str">
        <f>IF(E59&lt;=0.001,"Pass","Difference detected")</f>
        <v>Pass</v>
      </c>
    </row>
    <row r="60" spans="1:7">
      <c r="A60" t="s">
        <v>57</v>
      </c>
      <c r="B60">
        <f>'SAM_73'!BW60</f>
        <v>1799693756.2440276</v>
      </c>
      <c r="C60">
        <f>'SAM_73'!BD79</f>
        <v>1799693756.2440286</v>
      </c>
      <c r="D60">
        <f>B60-C60</f>
        <v>-9.5367431640625e-07</v>
      </c>
      <c r="E60">
        <f>ABS(D60)</f>
        <v>9.5367431640625e-07</v>
      </c>
      <c r="F60">
        <f>E60/MAX(ABS(B60),ABS(C60),1)</f>
        <v>5.299092209980069e-16</v>
      </c>
      <c r="G60" t="str">
        <f>IF(E60&lt;=0.001,"Pass","Difference detected")</f>
        <v>Pass</v>
      </c>
    </row>
    <row r="61" spans="1:7">
      <c r="A61" t="s">
        <v>58</v>
      </c>
      <c r="B61">
        <f>'SAM_73'!BW61</f>
        <v>1014677766.5841655</v>
      </c>
      <c r="C61">
        <f>'SAM_73'!BE79</f>
        <v>1014677766.5841659</v>
      </c>
      <c r="D61">
        <f>B61-C61</f>
        <v>-4.76837158203125e-07</v>
      </c>
      <c r="E61">
        <f>ABS(D61)</f>
        <v>4.76837158203125e-07</v>
      </c>
      <c r="F61">
        <f>E61/MAX(ABS(B61),ABS(C61),1)</f>
        <v>4.699394959725592e-16</v>
      </c>
      <c r="G61" t="str">
        <f>IF(E61&lt;=0.001,"Pass","Difference detected")</f>
        <v>Pass</v>
      </c>
    </row>
    <row r="62" spans="1:7">
      <c r="A62" t="s">
        <v>59</v>
      </c>
      <c r="B62">
        <f>'SAM_73'!BW62</f>
        <v>1070536368.3774636</v>
      </c>
      <c r="C62">
        <f>'SAM_73'!BF79</f>
        <v>1070536368.3774636</v>
      </c>
      <c r="D62">
        <f>B62-C62</f>
        <v>0.0</v>
      </c>
      <c r="E62">
        <f>ABS(D62)</f>
        <v>0.0</v>
      </c>
      <c r="F62">
        <f>E62/MAX(ABS(B62),ABS(C62),1)</f>
        <v>0.0</v>
      </c>
      <c r="G62" t="str">
        <f>IF(E62&lt;=0.001,"Pass","Difference detected")</f>
        <v>Pass</v>
      </c>
    </row>
    <row r="63" spans="1:7">
      <c r="A63" t="s">
        <v>60</v>
      </c>
      <c r="B63">
        <f>'SAM_73'!BW63</f>
        <v>72200225.97511287</v>
      </c>
      <c r="C63">
        <f>'SAM_73'!BG79</f>
        <v>72200225.97511293</v>
      </c>
      <c r="D63">
        <f>B63-C63</f>
        <v>-5.960464477539063e-08</v>
      </c>
      <c r="E63">
        <f>ABS(D63)</f>
        <v>5.960464477539063e-08</v>
      </c>
      <c r="F63">
        <f>E63/MAX(ABS(B63),ABS(C63),1)</f>
        <v>8.2554651277595805e-16</v>
      </c>
      <c r="G63" t="str">
        <f>IF(E63&lt;=0.001,"Pass","Difference detected")</f>
        <v>Pass</v>
      </c>
    </row>
    <row r="64" spans="1:7">
      <c r="A64" t="s">
        <v>61</v>
      </c>
      <c r="B64">
        <f>'SAM_73'!BW64</f>
        <v>394741297.6631866</v>
      </c>
      <c r="C64">
        <f>'SAM_73'!BH79</f>
        <v>394741297.6631871</v>
      </c>
      <c r="D64">
        <f>B64-C64</f>
        <v>-4.76837158203125e-07</v>
      </c>
      <c r="E64">
        <f>ABS(D64)</f>
        <v>4.76837158203125e-07</v>
      </c>
      <c r="F64">
        <f>E64/MAX(ABS(B64),ABS(C64),1)</f>
        <v>1.2079738325478835e-15</v>
      </c>
      <c r="G64" t="str">
        <f>IF(E64&lt;=0.001,"Pass","Difference detected")</f>
        <v>Pass</v>
      </c>
    </row>
    <row r="65" spans="1:7">
      <c r="A65" t="s">
        <v>62</v>
      </c>
      <c r="B65">
        <f>'SAM_73'!BW65</f>
        <v>127963987.70088552</v>
      </c>
      <c r="C65">
        <f>'SAM_73'!BI79</f>
        <v>127963987.70088561</v>
      </c>
      <c r="D65">
        <f>B65-C65</f>
        <v>-8.940696716308594e-08</v>
      </c>
      <c r="E65">
        <f>ABS(D65)</f>
        <v>8.940696716308594e-08</v>
      </c>
      <c r="F65">
        <f>E65/MAX(ABS(B65),ABS(C65),1)</f>
        <v>6.986885042381902e-16</v>
      </c>
      <c r="G65" t="str">
        <f>IF(E65&lt;=0.001,"Pass","Difference detected")</f>
        <v>Pass</v>
      </c>
    </row>
    <row r="66" spans="1:7">
      <c r="A66" t="s">
        <v>63</v>
      </c>
      <c r="B66">
        <f>'SAM_73'!BW66</f>
        <v>156508849.71752632</v>
      </c>
      <c r="C66">
        <f>'SAM_73'!BJ79</f>
        <v>156508849.71756312</v>
      </c>
      <c r="D66">
        <f>B66-C66</f>
        <v>-3.680586814880371e-05</v>
      </c>
      <c r="E66">
        <f>ABS(D66)</f>
        <v>3.680586814880371e-05</v>
      </c>
      <c r="F66">
        <f>E66/MAX(ABS(B66),ABS(C66),1)</f>
        <v>2.351679679150656e-13</v>
      </c>
      <c r="G66" t="str">
        <f>IF(E66&lt;=0.001,"Pass","Difference detected")</f>
        <v>Pass</v>
      </c>
    </row>
    <row r="67" spans="1:7">
      <c r="A67" t="s">
        <v>64</v>
      </c>
      <c r="B67">
        <f>'SAM_73'!BW67</f>
        <v>60130499.25839203</v>
      </c>
      <c r="C67">
        <f>'SAM_73'!BK79</f>
        <v>60130499.25839211</v>
      </c>
      <c r="D67">
        <f>B67-C67</f>
        <v>-8.195638656616211e-08</v>
      </c>
      <c r="E67">
        <f>ABS(D67)</f>
        <v>8.195638656616211e-08</v>
      </c>
      <c r="F67">
        <f>E67/MAX(ABS(B67),ABS(C67),1)</f>
        <v>1.3629753216247223e-15</v>
      </c>
      <c r="G67" t="str">
        <f>IF(E67&lt;=0.001,"Pass","Difference detected")</f>
        <v>Pass</v>
      </c>
    </row>
    <row r="68" spans="1:7">
      <c r="A68" t="s">
        <v>65</v>
      </c>
      <c r="B68">
        <f>'SAM_73'!BW68</f>
        <v>109556410.55534787</v>
      </c>
      <c r="C68">
        <f>'SAM_73'!BL79</f>
        <v>109556410.55534796</v>
      </c>
      <c r="D68">
        <f>B68-C68</f>
        <v>-8.940696716308594e-08</v>
      </c>
      <c r="E68">
        <f>ABS(D68)</f>
        <v>8.940696716308594e-08</v>
      </c>
      <c r="F68">
        <f>E68/MAX(ABS(B68),ABS(C68),1)</f>
        <v>8.1608156665481e-16</v>
      </c>
      <c r="G68" t="str">
        <f>IF(E68&lt;=0.001,"Pass","Difference detected")</f>
        <v>Pass</v>
      </c>
    </row>
    <row r="69" spans="1:7">
      <c r="A69" t="s">
        <v>66</v>
      </c>
      <c r="B69">
        <f>'SAM_73'!BW69</f>
        <v>15703634.43914855</v>
      </c>
      <c r="C69">
        <f>'SAM_73'!BM79</f>
        <v>15703634.43914856</v>
      </c>
      <c r="D69">
        <f>B69-C69</f>
        <v>-9.313225746154785e-09</v>
      </c>
      <c r="E69">
        <f>ABS(D69)</f>
        <v>9.313225746154785e-09</v>
      </c>
      <c r="F69">
        <f>E69/MAX(ABS(B69),ABS(C69),1)</f>
        <v>5.930618024918658e-16</v>
      </c>
      <c r="G69" t="str">
        <f>IF(E69&lt;=0.001,"Pass","Difference detected")</f>
        <v>Pass</v>
      </c>
    </row>
    <row r="70" spans="1:7">
      <c r="A70" t="s">
        <v>67</v>
      </c>
      <c r="B70">
        <f>'SAM_73'!BW70</f>
        <v>7755515400.008978</v>
      </c>
      <c r="C70">
        <f>'SAM_73'!BN79</f>
        <v>7755515400.008978</v>
      </c>
      <c r="D70">
        <f>B70-C70</f>
        <v>0.0</v>
      </c>
      <c r="E70">
        <f>ABS(D70)</f>
        <v>0.0</v>
      </c>
      <c r="F70">
        <f>E70/MAX(ABS(B70),ABS(C70),1)</f>
        <v>0.0</v>
      </c>
      <c r="G70" t="str">
        <f>IF(E70&lt;=0.001,"Pass","Difference detected")</f>
        <v>Pass</v>
      </c>
    </row>
    <row r="71" spans="1:7">
      <c r="A71" t="s">
        <v>68</v>
      </c>
      <c r="B71">
        <f>'SAM_73'!BW71</f>
        <v>16659364806.72465</v>
      </c>
      <c r="C71">
        <f>'SAM_73'!BO79</f>
        <v>16659364806.72465</v>
      </c>
      <c r="D71">
        <f>B71-C71</f>
        <v>0.0</v>
      </c>
      <c r="E71">
        <f>ABS(D71)</f>
        <v>0.0</v>
      </c>
      <c r="F71">
        <f>E71/MAX(ABS(B71),ABS(C71),1)</f>
        <v>0.0</v>
      </c>
      <c r="G71" t="str">
        <f>IF(E71&lt;=0.001,"Pass","Difference detected")</f>
        <v>Pass</v>
      </c>
    </row>
    <row r="72" spans="1:7">
      <c r="A72" t="s">
        <v>69</v>
      </c>
      <c r="B72">
        <f>'SAM_73'!BW72</f>
        <v>-321052811.9305103</v>
      </c>
      <c r="C72">
        <f>'SAM_73'!BP79</f>
        <v>-321052811.9305103</v>
      </c>
      <c r="D72">
        <f>B72-C72</f>
        <v>0.0</v>
      </c>
      <c r="E72">
        <f>ABS(D72)</f>
        <v>0.0</v>
      </c>
      <c r="F72">
        <f>E72/MAX(ABS(B72),ABS(C72),1)</f>
        <v>0.0</v>
      </c>
      <c r="G72" t="str">
        <f>IF(E72&lt;=0.001,"Pass","Difference detected")</f>
        <v>Pass</v>
      </c>
    </row>
    <row r="73" spans="1:7">
      <c r="A73" t="s">
        <v>70</v>
      </c>
      <c r="B73">
        <f>'SAM_73'!BW73</f>
        <v>2997641669.8982677</v>
      </c>
      <c r="C73">
        <f>'SAM_73'!BQ79</f>
        <v>2997641669.8982677</v>
      </c>
      <c r="D73">
        <f>B73-C73</f>
        <v>0.0</v>
      </c>
      <c r="E73">
        <f>ABS(D73)</f>
        <v>0.0</v>
      </c>
      <c r="F73">
        <f>E73/MAX(ABS(B73),ABS(C73),1)</f>
        <v>0.0</v>
      </c>
      <c r="G73" t="str">
        <f>IF(E73&lt;=0.001,"Pass","Difference detected")</f>
        <v>Pass</v>
      </c>
    </row>
    <row r="74" spans="1:7">
      <c r="A74" t="s">
        <v>71</v>
      </c>
      <c r="B74">
        <f>'SAM_73'!BW74</f>
        <v>1762053126.857001</v>
      </c>
      <c r="C74">
        <f>'SAM_73'!BR79</f>
        <v>1762053126.857001</v>
      </c>
      <c r="D74">
        <f>B74-C74</f>
        <v>0.0</v>
      </c>
      <c r="E74">
        <f>ABS(D74)</f>
        <v>0.0</v>
      </c>
      <c r="F74">
        <f>E74/MAX(ABS(B74),ABS(C74),1)</f>
        <v>0.0</v>
      </c>
      <c r="G74" t="str">
        <f>IF(E74&lt;=0.001,"Pass","Difference detected")</f>
        <v>Pass</v>
      </c>
    </row>
    <row r="75" spans="1:7">
      <c r="A75" t="s">
        <v>72</v>
      </c>
      <c r="B75">
        <f>'SAM_73'!BW75</f>
        <v>24414880206.733627</v>
      </c>
      <c r="C75">
        <f>'SAM_73'!BS79</f>
        <v>24414880206.733624</v>
      </c>
      <c r="D75">
        <f>B75-C75</f>
        <v>3.814697265625e-06</v>
      </c>
      <c r="E75">
        <f>ABS(D75)</f>
        <v>3.814697265625e-06</v>
      </c>
      <c r="F75">
        <f>E75/MAX(ABS(B75),ABS(C75),1)</f>
        <v>1.5624476685218e-16</v>
      </c>
      <c r="G75" t="str">
        <f>IF(E75&lt;=0.001,"Pass","Difference detected")</f>
        <v>Pass</v>
      </c>
    </row>
    <row r="76" spans="1:7">
      <c r="A76" t="s">
        <v>73</v>
      </c>
      <c r="B76">
        <f>'SAM_73'!BW76</f>
        <v>4438641984.824759</v>
      </c>
      <c r="C76">
        <f>'SAM_73'!BT79</f>
        <v>4438641984.824759</v>
      </c>
      <c r="D76">
        <f>B76-C76</f>
        <v>0.0</v>
      </c>
      <c r="E76">
        <f>ABS(D76)</f>
        <v>0.0</v>
      </c>
      <c r="F76">
        <f>E76/MAX(ABS(B76),ABS(C76),1)</f>
        <v>0.0</v>
      </c>
      <c r="G76" t="str">
        <f>IF(E76&lt;=0.001,"Pass","Difference detected")</f>
        <v>Pass</v>
      </c>
    </row>
    <row r="77" spans="1:7">
      <c r="A77" t="s">
        <v>74</v>
      </c>
      <c r="B77">
        <f>'SAM_73'!BW77</f>
        <v>9370472231.101055</v>
      </c>
      <c r="C77">
        <f>'SAM_73'!BU79</f>
        <v>9370472231.100958</v>
      </c>
      <c r="D77">
        <f>B77-C77</f>
        <v>9.72747802734375e-05</v>
      </c>
      <c r="E77">
        <f>ABS(D77)</f>
        <v>9.72747802734375e-05</v>
      </c>
      <c r="F77">
        <f>E77/MAX(ABS(B77),ABS(C77),1)</f>
        <v>1.0380990186447355e-14</v>
      </c>
      <c r="G77" t="str">
        <f>IF(E77&lt;=0.001,"Pass","Difference detected")</f>
        <v>Pass</v>
      </c>
    </row>
    <row r="78" spans="1:7">
      <c r="A78" t="s">
        <v>75</v>
      </c>
      <c r="B78">
        <f>'SAM_73'!BW78</f>
        <v>9203376441.84259</v>
      </c>
      <c r="C78">
        <f>'SAM_73'!BV79</f>
        <v>9203376441.84259</v>
      </c>
      <c r="D78">
        <f>B78-C78</f>
        <v>0.0</v>
      </c>
      <c r="E78">
        <f>ABS(D78)</f>
        <v>0.0</v>
      </c>
      <c r="F78">
        <f>E78/MAX(ABS(B78),ABS(C78),1)</f>
        <v>0.0</v>
      </c>
      <c r="G78" t="str">
        <f>IF(E78&lt;=0.001,"Pass","Difference detected")</f>
        <v>Pass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SAM_73</vt:lpstr>
      <vt:lpstr>Macro_SAM</vt:lpstr>
      <vt:lpstr>Accounts</vt:lpstr>
      <vt:lpstr>Tax_Bridge</vt:lpstr>
      <vt:lpstr>Checks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2026-10-30T05:53:44Z</dcterms:created>
  <dcterms:modified xsi:type="dcterms:W3CDTF">2026-10-30T05:53:44Z</dcterms:modified>
</cp:coreProperties>
</file>