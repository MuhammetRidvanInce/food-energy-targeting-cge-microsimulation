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2a2005525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_73" sheetId="1" r:id="R8fc7010f0f1e4511"/>
    <x:sheet xmlns:r="http://schemas.openxmlformats.org/officeDocument/2006/relationships" name="Macro_SAM" sheetId="2" r:id="Ra03b91205ce442ad"/>
    <x:sheet xmlns:r="http://schemas.openxmlformats.org/officeDocument/2006/relationships" name="Accounts" sheetId="3" r:id="R40a16617f0f341fa"/>
    <x:sheet xmlns:r="http://schemas.openxmlformats.org/officeDocument/2006/relationships" name="Tax_Bridge" sheetId="4" r:id="Re7618a8fc8164cc6"/>
    <x:sheet xmlns:r="http://schemas.openxmlformats.org/officeDocument/2006/relationships" name="Checks" sheetId="5" r:id="R3345f21e0c06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&quot;–&quot;"/>
    <x:numFmt numFmtId="201" formatCode="0.00E+00"/>
  </x:numFmts>
  <x:fonts count="6">
    <x:font>
      <x:sz val="11"/>
      <x:name val="Carlito"/>
    </x:font>
    <x:font>
      <x:sz val="10"/>
      <x:color rgb="FF172B4D"/>
      <x:name val="Arial"/>
    </x:font>
    <x:font>
      <x:b/>
      <x:sz val="14"/>
      <x:color rgb="FF243B53"/>
      <x:name val="Arial"/>
    </x:font>
    <x:font>
      <x:i/>
      <x:sz val="10"/>
      <x:color rgb="FF52616B"/>
      <x:name val="Arial"/>
    </x:font>
    <x:font>
      <x:b/>
      <x:sz val="10"/>
      <x:color rgb="FFFFFFFF"/>
      <x:name val="Arial"/>
    </x:font>
    <x:font>
      <x:b/>
      <x:sz val="10"/>
      <x:color rgb="FF172B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0F4F8"/>
      </x:patternFill>
    </x:fill>
    <x:fill>
      <x:patternFill patternType="solid">
        <x:fgColor rgb="FFDCE6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c3e10cb3742cf" /><Relationship Type="http://schemas.openxmlformats.org/officeDocument/2006/relationships/theme" Target="/xl/theme/theme1.xml" Id="R0e56a5980d9849f8" /><Relationship Type="http://schemas.openxmlformats.org/officeDocument/2006/relationships/sharedStrings" Target="/xl/sharedStrings.xml" Id="R6932339d6623410d" /><Relationship Type="http://schemas.openxmlformats.org/officeDocument/2006/relationships/worksheet" Target="/xl/worksheets/sheet1.xml" Id="R8fc7010f0f1e4511" /><Relationship Type="http://schemas.openxmlformats.org/officeDocument/2006/relationships/worksheet" Target="/xl/worksheets/sheet2.xml" Id="Ra03b91205ce442ad" /><Relationship Type="http://schemas.openxmlformats.org/officeDocument/2006/relationships/worksheet" Target="/xl/worksheets/sheet3.xml" Id="R40a16617f0f341fa" /><Relationship Type="http://schemas.openxmlformats.org/officeDocument/2006/relationships/worksheet" Target="/xl/worksheets/sheet4.xml" Id="Re7618a8fc8164cc6" /><Relationship Type="http://schemas.openxmlformats.org/officeDocument/2006/relationships/worksheet" Target="/xl/worksheets/sheet5.xml" Id="R3345f21e0c0644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  <x:col min="35" max="35" width="21" hidden="0" customWidth="1"/>
    <x:col min="36" max="36" width="21" hidden="0" customWidth="1"/>
    <x:col min="37" max="37" width="21" hidden="0" customWidth="1"/>
    <x:col min="38" max="38" width="21" hidden="0" customWidth="1"/>
    <x:col min="39" max="39" width="21" hidden="0" customWidth="1"/>
    <x:col min="40" max="40" width="21" hidden="0" customWidth="1"/>
    <x:col min="41" max="41" width="21" hidden="0" customWidth="1"/>
    <x:col min="42" max="42" width="21" hidden="0" customWidth="1"/>
    <x:col min="43" max="43" width="21" hidden="0" customWidth="1"/>
    <x:col min="44" max="44" width="21" hidden="0" customWidth="1"/>
    <x:col min="45" max="45" width="21" hidden="0" customWidth="1"/>
    <x:col min="46" max="46" width="21" hidden="0" customWidth="1"/>
    <x:col min="47" max="47" width="21" hidden="0" customWidth="1"/>
    <x:col min="48" max="48" width="21" hidden="0" customWidth="1"/>
    <x:col min="49" max="49" width="21" hidden="0" customWidth="1"/>
    <x:col min="50" max="50" width="21" hidden="0" customWidth="1"/>
    <x:col min="51" max="51" width="21" hidden="0" customWidth="1"/>
    <x:col min="52" max="52" width="21" hidden="0" customWidth="1"/>
    <x:col min="53" max="53" width="21" hidden="0" customWidth="1"/>
    <x:col min="54" max="54" width="21" hidden="0" customWidth="1"/>
    <x:col min="55" max="55" width="21" hidden="0" customWidth="1"/>
    <x:col min="56" max="56" width="21" hidden="0" customWidth="1"/>
    <x:col min="57" max="57" width="21" hidden="0" customWidth="1"/>
    <x:col min="58" max="58" width="21" hidden="0" customWidth="1"/>
    <x:col min="59" max="59" width="21" hidden="0" customWidth="1"/>
    <x:col min="60" max="60" width="21" hidden="0" customWidth="1"/>
    <x:col min="61" max="61" width="21" hidden="0" customWidth="1"/>
    <x:col min="62" max="62" width="21" hidden="0" customWidth="1"/>
    <x:col min="63" max="63" width="21" hidden="0" customWidth="1"/>
    <x:col min="64" max="64" width="21" hidden="0" customWidth="1"/>
    <x:col min="65" max="65" width="21" hidden="0" customWidth="1"/>
    <x:col min="66" max="66" width="21" hidden="0" customWidth="1"/>
    <x:col min="67" max="67" width="21" hidden="0" customWidth="1"/>
    <x:col min="68" max="68" width="21" hidden="0" customWidth="1"/>
    <x:col min="69" max="69" width="21" hidden="0" customWidth="1"/>
    <x:col min="70" max="70" width="21" hidden="0" customWidth="1"/>
    <x:col min="71" max="71" width="21" hidden="0" customWidth="1"/>
    <x:col min="72" max="72" width="21" hidden="0" customWidth="1"/>
    <x:col min="73" max="73" width="21" hidden="0" customWidth="1"/>
    <x:col min="74" max="74" width="21" hidden="0" customWidth="1"/>
    <x:col min="75" max="75" width="2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</x:row>
    <x:row r="2" ht="22" customHeight="1">
      <x:c r="A2" s="3" t="str">
        <x:v>Turkey 2023 social accounting matrix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</x:row>
    <x:row r="3" ht="22" customHeight="1">
      <x:c r="A3" s="4" t="str">
        <x:v>Thousand TRY; rows receive and columns share. 64 sectors + 9 accounts; separate PTAX and CTAX.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</x:row>
    <x:row r="5" ht="36" customHeight="1">
      <x:c r="A5" s="8" t="str">
        <x:v>Account</x:v>
      </x:c>
      <x:c r="B5" s="8" t="str">
        <x:v>S00</x:v>
      </x:c>
      <x:c r="C5" s="8" t="str">
        <x:v>S01</x:v>
      </x:c>
      <x:c r="D5" s="8" t="str">
        <x:v>S02</x:v>
      </x:c>
      <x:c r="E5" s="8" t="str">
        <x:v>S03</x:v>
      </x:c>
      <x:c r="F5" s="8" t="str">
        <x:v>S04</x:v>
      </x:c>
      <x:c r="G5" s="8" t="str">
        <x:v>S05</x:v>
      </x:c>
      <x:c r="H5" s="8" t="str">
        <x:v>S06</x:v>
      </x:c>
      <x:c r="I5" s="8" t="str">
        <x:v>S07</x:v>
      </x:c>
      <x:c r="J5" s="8" t="str">
        <x:v>S08</x:v>
      </x:c>
      <x:c r="K5" s="8" t="str">
        <x:v>S09</x:v>
      </x:c>
      <x:c r="L5" s="8" t="str">
        <x:v>S10</x:v>
      </x:c>
      <x:c r="M5" s="8" t="str">
        <x:v>S11</x:v>
      </x:c>
      <x:c r="N5" s="8" t="str">
        <x:v>S12</x:v>
      </x:c>
      <x:c r="O5" s="8" t="str">
        <x:v>S13</x:v>
      </x:c>
      <x:c r="P5" s="8" t="str">
        <x:v>S14</x:v>
      </x:c>
      <x:c r="Q5" s="8" t="str">
        <x:v>S15</x:v>
      </x:c>
      <x:c r="R5" s="8" t="str">
        <x:v>S16</x:v>
      </x:c>
      <x:c r="S5" s="8" t="str">
        <x:v>S17</x:v>
      </x:c>
      <x:c r="T5" s="8" t="str">
        <x:v>S18</x:v>
      </x:c>
      <x:c r="U5" s="8" t="str">
        <x:v>S19</x:v>
      </x:c>
      <x:c r="V5" s="8" t="str">
        <x:v>S20</x:v>
      </x:c>
      <x:c r="W5" s="8" t="str">
        <x:v>S21</x:v>
      </x:c>
      <x:c r="X5" s="8" t="str">
        <x:v>S22</x:v>
      </x:c>
      <x:c r="Y5" s="8" t="str">
        <x:v>S23</x:v>
      </x:c>
      <x:c r="Z5" s="8" t="str">
        <x:v>S24</x:v>
      </x:c>
      <x:c r="AA5" s="8" t="str">
        <x:v>S25</x:v>
      </x:c>
      <x:c r="AB5" s="8" t="str">
        <x:v>S26</x:v>
      </x:c>
      <x:c r="AC5" s="8" t="str">
        <x:v>S27</x:v>
      </x:c>
      <x:c r="AD5" s="8" t="str">
        <x:v>S28</x:v>
      </x:c>
      <x:c r="AE5" s="8" t="str">
        <x:v>S29</x:v>
      </x:c>
      <x:c r="AF5" s="8" t="str">
        <x:v>S30</x:v>
      </x:c>
      <x:c r="AG5" s="8" t="str">
        <x:v>S31</x:v>
      </x:c>
      <x:c r="AH5" s="8" t="str">
        <x:v>S32</x:v>
      </x:c>
      <x:c r="AI5" s="8" t="str">
        <x:v>S33</x:v>
      </x:c>
      <x:c r="AJ5" s="8" t="str">
        <x:v>S34</x:v>
      </x:c>
      <x:c r="AK5" s="8" t="str">
        <x:v>S35</x:v>
      </x:c>
      <x:c r="AL5" s="8" t="str">
        <x:v>S36</x:v>
      </x:c>
      <x:c r="AM5" s="8" t="str">
        <x:v>S37</x:v>
      </x:c>
      <x:c r="AN5" s="8" t="str">
        <x:v>S38</x:v>
      </x:c>
      <x:c r="AO5" s="8" t="str">
        <x:v>S39</x:v>
      </x:c>
      <x:c r="AP5" s="8" t="str">
        <x:v>S40</x:v>
      </x:c>
      <x:c r="AQ5" s="8" t="str">
        <x:v>S41</x:v>
      </x:c>
      <x:c r="AR5" s="8" t="str">
        <x:v>S42</x:v>
      </x:c>
      <x:c r="AS5" s="8" t="str">
        <x:v>S43</x:v>
      </x:c>
      <x:c r="AT5" s="8" t="str">
        <x:v>S44</x:v>
      </x:c>
      <x:c r="AU5" s="8" t="str">
        <x:v>S45</x:v>
      </x:c>
      <x:c r="AV5" s="8" t="str">
        <x:v>S46</x:v>
      </x:c>
      <x:c r="AW5" s="8" t="str">
        <x:v>S47</x:v>
      </x:c>
      <x:c r="AX5" s="8" t="str">
        <x:v>S48</x:v>
      </x:c>
      <x:c r="AY5" s="8" t="str">
        <x:v>S49</x:v>
      </x:c>
      <x:c r="AZ5" s="8" t="str">
        <x:v>S50</x:v>
      </x:c>
      <x:c r="BA5" s="8" t="str">
        <x:v>S51</x:v>
      </x:c>
      <x:c r="BB5" s="8" t="str">
        <x:v>S52</x:v>
      </x:c>
      <x:c r="BC5" s="8" t="str">
        <x:v>S53</x:v>
      </x:c>
      <x:c r="BD5" s="8" t="str">
        <x:v>S54</x:v>
      </x:c>
      <x:c r="BE5" s="8" t="str">
        <x:v>S55</x:v>
      </x:c>
      <x:c r="BF5" s="8" t="str">
        <x:v>S56</x:v>
      </x:c>
      <x:c r="BG5" s="8" t="str">
        <x:v>S57</x:v>
      </x:c>
      <x:c r="BH5" s="8" t="str">
        <x:v>S58</x:v>
      </x:c>
      <x:c r="BI5" s="8" t="str">
        <x:v>S59</x:v>
      </x:c>
      <x:c r="BJ5" s="8" t="str">
        <x:v>S60</x:v>
      </x:c>
      <x:c r="BK5" s="8" t="str">
        <x:v>S61</x:v>
      </x:c>
      <x:c r="BL5" s="8" t="str">
        <x:v>S62</x:v>
      </x:c>
      <x:c r="BM5" s="8" t="str">
        <x:v>S63</x:v>
      </x:c>
      <x:c r="BN5" s="8" t="str">
        <x:v>LAB</x:v>
      </x:c>
      <x:c r="BO5" s="8" t="str">
        <x:v>CAP</x:v>
      </x:c>
      <x:c r="BP5" s="8" t="str">
        <x:v>PTAX</x:v>
      </x:c>
      <x:c r="BQ5" s="8" t="str">
        <x:v>CTAX</x:v>
      </x:c>
      <x:c r="BR5" s="8" t="str">
        <x:v>DTAX</x:v>
      </x:c>
      <x:c r="BS5" s="8" t="str">
        <x:v>HOH</x:v>
      </x:c>
      <x:c r="BT5" s="8" t="str">
        <x:v>GOV</x:v>
      </x:c>
      <x:c r="BU5" s="8" t="str">
        <x:v>INV</x:v>
      </x:c>
      <x:c r="BV5" s="8" t="str">
        <x:v>EXT</x:v>
      </x:c>
      <x:c r="BW5" s="8" t="str">
        <x:v>TOTAL</x:v>
      </x:c>
    </x:row>
    <x:row r="6" ht="22" customHeight="1">
      <x:c r="A6" s="2" t="str">
        <x:v>S00</x:v>
      </x:c>
      <x:c r="B6" s="9" t="n">
        <x:v>481625621.7180552</x:v>
      </x:c>
      <x:c r="C6" s="9" t="n">
        <x:v>373000.81857915304</x:v>
      </x:c>
      <x:c r="D6" s="9" t="n">
        <x:v>198259.78607118072</x:v>
      </x:c>
      <x:c r="E6" s="9" t="n">
        <x:v>3987287.316192687</x:v>
      </x:c>
      <x:c r="F6" s="9" t="n">
        <x:v>871389321.7633295</x:v>
      </x:c>
      <x:c r="G6" s="9" t="n">
        <x:v>63339366.63304166</x:v>
      </x:c>
      <x:c r="H6" s="9" t="n">
        <x:v>2224810.044150749</x:v>
      </x:c>
      <x:c r="I6" s="9" t="n">
        <x:v>1458634.9959933409</x:v>
      </x:c>
      <x:c r="J6" s="9" t="n">
        <x:v>129394.78354494525</x:v>
      </x:c>
      <x:c r="K6" s="9" t="n">
        <x:v>79985.73084417418</x:v>
      </x:c>
      <x:c r="L6" s="9" t="n">
        <x:v>2809629.4617354884</x:v>
      </x:c>
      <x:c r="M6" s="9" t="n">
        <x:v>500984.513740713</x:v>
      </x:c>
      <x:c r="N6" s="9" t="n">
        <x:v>11124154.47016211</x:v>
      </x:c>
      <x:c r="O6" s="9" t="n">
        <x:v>1463830.7983714007</x:v>
      </x:c>
      <x:c r="P6" s="9" t="n">
        <x:v>54920.80026136379</x:v>
      </x:c>
      <x:c r="Q6" s="9" t="n">
        <x:v>964984.600973498</x:v>
      </x:c>
      <x:c r="R6" s="9" t="n">
        <x:v>70247.45166699255</x:v>
      </x:c>
      <x:c r="S6" s="9" t="n">
        <x:v>494710.11655441154</x:v>
      </x:c>
      <x:c r="T6" s="9" t="n">
        <x:v>1054643.5638437686</x:v>
      </x:c>
      <x:c r="U6" s="9" t="n">
        <x:v>115216.41200535386</x:v>
      </x:c>
      <x:c r="V6" s="9" t="n">
        <x:v>133070.96269761707</x:v>
      </x:c>
      <x:c r="W6" s="9" t="n">
        <x:v>826810.9221178354</x:v>
      </x:c>
      <x:c r="X6" s="9" t="n">
        <x:v>55671.38588679835</x:v>
      </x:c>
      <x:c r="Y6" s="9" t="n">
        <x:v>2502208.270450457</x:v>
      </x:c>
      <x:c r="Z6" s="9" t="n">
        <x:v>25383.814539242</x:v>
      </x:c>
      <x:c r="AA6" s="9" t="n">
        <x:v>45464.2263322844</x:v>
      </x:c>
      <x:c r="AB6" s="9" t="n">
        <x:v>33543388.45942567</x:v>
      </x:c>
      <x:c r="AC6" s="9" t="n">
        <x:v>7594546.080598378</x:v>
      </x:c>
      <x:c r="AD6" s="9" t="n">
        <x:v>10538132.043074232</x:v>
      </x:c>
      <x:c r="AE6" s="9" t="n">
        <x:v>2259052.9746719208</x:v>
      </x:c>
      <x:c r="AF6" s="9" t="n">
        <x:v>19675318.234969746</x:v>
      </x:c>
      <x:c r="AG6" s="9" t="n">
        <x:v>2970681.3923484087</x:v>
      </x:c>
      <x:c r="AH6" s="9" t="n">
        <x:v>38981.159522095986</x:v>
      </x:c>
      <x:c r="AI6" s="9" t="n">
        <x:v>5880456.717791654</x:v>
      </x:c>
      <x:c r="AJ6" s="9" t="n">
        <x:v>418351.529747402</x:v>
      </x:c>
      <x:c r="AK6" s="9" t="n">
        <x:v>46993862.03408399</x:v>
      </x:c>
      <x:c r="AL6" s="9" t="n">
        <x:v>63875.093135048315</x:v>
      </x:c>
      <x:c r="AM6" s="9" t="n">
        <x:v>101279.28553547763</x:v>
      </x:c>
      <x:c r="AN6" s="9" t="n">
        <x:v>207385.92833891432</x:v>
      </x:c>
      <x:c r="AO6" s="9" t="n">
        <x:v>361057.41448998783</x:v>
      </x:c>
      <x:c r="AP6" s="9" t="n">
        <x:v>23016.757180602835</x:v>
      </x:c>
      <x:c r="AQ6" s="9" t="n">
        <x:v>1229.0818793452422</x:v>
      </x:c>
      <x:c r="AR6" s="9" t="n">
        <x:v>4736.726920398298</x:v>
      </x:c>
      <x:c r="AS6" s="9" t="n">
        <x:v>1792955.359920612</x:v>
      </x:c>
      <x:c r="AT6" s="9" t="n">
        <x:v>193.6998887183779</x:v>
      </x:c>
      <x:c r="AU6" s="9" t="n">
        <x:v>1520571.0003063944</x:v>
      </x:c>
      <x:c r="AV6" s="9" t="n">
        <x:v>1628627.0095615124</x:v>
      </x:c>
      <x:c r="AW6" s="9" t="n">
        <x:v>31415.098632784175</x:v>
      </x:c>
      <x:c r="AX6" s="9" t="n">
        <x:v>564315.7973903973</x:v>
      </x:c>
      <x:c r="AY6" s="9" t="n">
        <x:v>1634735.9091167548</x:v>
      </x:c>
      <x:c r="AZ6" s="9" t="n">
        <x:v>926416.5200751118</x:v>
      </x:c>
      <x:c r="BA6" s="9" t="n">
        <x:v>21624.500545331262</x:v>
      </x:c>
      <x:c r="BB6" s="9" t="n">
        <x:v>1002345.7243794916</x:v>
      </x:c>
      <x:c r="BC6" s="9" t="n">
        <x:v>843179.3802068672</x:v>
      </x:c>
      <x:c r="BD6" s="9" t="n">
        <x:v>19294523.15346791</x:v>
      </x:c>
      <x:c r="BE6" s="9" t="n">
        <x:v>1684253.5123779476</x:v>
      </x:c>
      <x:c r="BF6" s="9" t="n">
        <x:v>763101.3632885653</x:v>
      </x:c>
      <x:c r="BG6" s="9" t="n">
        <x:v>1837292.1786617714</x:v>
      </x:c>
      <x:c r="BH6" s="9" t="n">
        <x:v>2579205.651062922</x:v>
      </x:c>
      <x:c r="BI6" s="9" t="n">
        <x:v>641765.6949167082</x:v>
      </x:c>
      <x:c r="BJ6" s="9" t="n">
        <x:v>1146756.8348750132</x:v>
      </x:c>
      <x:c r="BK6" s="9" t="n">
        <x:v>171972.80116450475</x:v>
      </x:c>
      <x:c r="BL6" s="9" t="n">
        <x:v>645153.7910607294</x:v>
      </x:c>
      <x:c r="BM6" s="9" t="n">
        <x:v>0</x:v>
      </x:c>
      <x:c r="BN6" s="9" t="n">
        <x:v>0</x:v>
      </x:c>
      <x:c r="BO6" s="9" t="n">
        <x:v>0</x:v>
      </x:c>
      <x:c r="BP6" s="9" t="n">
        <x:v>0</x:v>
      </x:c>
      <x:c r="BQ6" s="9" t="n">
        <x:v>0</x:v>
      </x:c>
      <x:c r="BR6" s="9" t="n">
        <x:v>0</x:v>
      </x:c>
      <x:c r="BS6" s="9" t="n">
        <x:v>971597413.5138007</x:v>
      </x:c>
      <x:c r="BT6" s="9" t="n">
        <x:v>14221.95577370667</x:v>
      </x:c>
      <x:c r="BU6" s="9" t="n">
        <x:v>85577391.59949069</x:v>
      </x:c>
      <x:c r="BV6" s="9" t="n">
        <x:v>191867620.37961408</x:v>
      </x:c>
      <x:c r="BW6" s="16" t="n">
        <x:f>SUM(B6:BV6)</x:f>
        <x:v>2865510018.704435</x:v>
      </x:c>
    </x:row>
    <x:row r="7" ht="22" customHeight="1">
      <x:c r="A7" s="2" t="str">
        <x:v>S01</x:v>
      </x:c>
      <x:c r="B7" s="9" t="n">
        <x:v>2086843.4359658875</x:v>
      </x:c>
      <x:c r="C7" s="9" t="n">
        <x:v>1712813.84907291</x:v>
      </x:c>
      <x:c r="D7" s="9" t="n">
        <x:v>118297.43336918265</x:v>
      </x:c>
      <x:c r="E7" s="9" t="n">
        <x:v>237.2809901671732</x:v>
      </x:c>
      <x:c r="F7" s="9" t="n">
        <x:v>1882440.8363142211</x:v>
      </x:c>
      <x:c r="G7" s="9" t="n">
        <x:v>1203488.5037019395</x:v>
      </x:c>
      <x:c r="H7" s="9" t="n">
        <x:v>19936500.829918556</x:v>
      </x:c>
      <x:c r="I7" s="9" t="n">
        <x:v>20821414.437486276</x:v>
      </x:c>
      <x:c r="J7" s="9" t="n">
        <x:v>54.21387614602697</x:v>
      </x:c>
      <x:c r="K7" s="9" t="n">
        <x:v>1178.9714752866914</x:v>
      </x:c>
      <x:c r="L7" s="9" t="n">
        <x:v>592319.2243907694</x:v>
      </x:c>
      <x:c r="M7" s="9" t="n">
        <x:v>22877.19368852528</x:v>
      </x:c>
      <x:c r="N7" s="9" t="n">
        <x:v>5749.55589174844</x:v>
      </x:c>
      <x:c r="O7" s="9" t="n">
        <x:v>31280.69217556085</x:v>
      </x:c>
      <x:c r="P7" s="9" t="n">
        <x:v>212.85020768943644</x:v>
      </x:c>
      <x:c r="Q7" s="9" t="n">
        <x:v>20216.000723208563</x:v>
      </x:c>
      <x:c r="R7" s="9" t="n">
        <x:v>72.09984800844644</x:v>
      </x:c>
      <x:c r="S7" s="9" t="n">
        <x:v>10101.021089624785</x:v>
      </x:c>
      <x:c r="T7" s="9" t="n">
        <x:v>8761.76205935687</x:v>
      </x:c>
      <x:c r="U7" s="9" t="n">
        <x:v>337.6899978724455</x:v>
      </x:c>
      <x:c r="V7" s="9" t="n">
        <x:v>1020.7740136597901</x:v>
      </x:c>
      <x:c r="W7" s="9" t="n">
        <x:v>87456.78911376218</x:v>
      </x:c>
      <x:c r="X7" s="9" t="n">
        <x:v>175.58769903907523</x:v>
      </x:c>
      <x:c r="Y7" s="9" t="n">
        <x:v>1624.075370042282</x:v>
      </x:c>
      <x:c r="Z7" s="9" t="n">
        <x:v>1.6575657949886717</x:v>
      </x:c>
      <x:c r="AA7" s="9" t="n">
        <x:v>686.4539115120899</x:v>
      </x:c>
      <x:c r="AB7" s="9" t="n">
        <x:v>49834.713929890204</x:v>
      </x:c>
      <x:c r="AC7" s="9" t="n">
        <x:v>2073.9994990355985</x:v>
      </x:c>
      <x:c r="AD7" s="9" t="n">
        <x:v>233079.56918404318</x:v>
      </x:c>
      <x:c r="AE7" s="9" t="n">
        <x:v>3222.2754268520785</x:v>
      </x:c>
      <x:c r="AF7" s="9" t="n">
        <x:v>2106.22492300416</x:v>
      </x:c>
      <x:c r="AG7" s="9" t="n">
        <x:v>203.3221455426794</x:v>
      </x:c>
      <x:c r="AH7" s="9" t="n">
        <x:v>366.58370627322665</x:v>
      </x:c>
      <x:c r="AI7" s="9" t="n">
        <x:v>1456.6636216779993</x:v>
      </x:c>
      <x:c r="AJ7" s="9" t="n">
        <x:v>805.8085795136953</x:v>
      </x:c>
      <x:c r="AK7" s="9" t="n">
        <x:v>10933.720387995252</x:v>
      </x:c>
      <x:c r="AL7" s="9" t="n">
        <x:v>121.43651897580088</x:v>
      </x:c>
      <x:c r="AM7" s="9" t="n">
        <x:v>182.88781074136105</x:v>
      </x:c>
      <x:c r="AN7" s="9" t="n">
        <x:v>15.270212148505342</x:v>
      </x:c>
      <x:c r="AO7" s="9" t="n">
        <x:v>215.99986293364552</x:v>
      </x:c>
      <x:c r="AP7" s="9" t="n">
        <x:v>2.9075890702640876</x:v>
      </x:c>
      <x:c r="AQ7" s="9" t="n">
        <x:v>0.42979218074056164</x:v>
      </x:c>
      <x:c r="AR7" s="9" t="n">
        <x:v>3.2208275500506165</x:v>
      </x:c>
      <x:c r="AS7" s="9" t="n">
        <x:v>6210.6581535095265</x:v>
      </x:c>
      <x:c r="AT7" s="9" t="n">
        <x:v>0</x:v>
      </x:c>
      <x:c r="AU7" s="9" t="n">
        <x:v>767.8347022701188</x:v>
      </x:c>
      <x:c r="AV7" s="9" t="n">
        <x:v>24611.48138445533</x:v>
      </x:c>
      <x:c r="AW7" s="9" t="n">
        <x:v>37.26189404374202</x:v>
      </x:c>
      <x:c r="AX7" s="9" t="n">
        <x:v>21398.350094919457</x:v>
      </x:c>
      <x:c r="AY7" s="9" t="n">
        <x:v>918.0257043248854</x:v>
      </x:c>
      <x:c r="AZ7" s="9" t="n">
        <x:v>672.5533815744117</x:v>
      </x:c>
      <x:c r="BA7" s="9" t="n">
        <x:v>231.8191012444732</x:v>
      </x:c>
      <x:c r="BB7" s="9" t="n">
        <x:v>243.17369537736994</x:v>
      </x:c>
      <x:c r="BC7" s="9" t="n">
        <x:v>65835.3779253091</x:v>
      </x:c>
      <x:c r="BD7" s="9" t="n">
        <x:v>17319.510550297055</x:v>
      </x:c>
      <x:c r="BE7" s="9" t="n">
        <x:v>16619.52752388827</x:v>
      </x:c>
      <x:c r="BF7" s="9" t="n">
        <x:v>7474.849514894172</x:v>
      </x:c>
      <x:c r="BG7" s="9" t="n">
        <x:v>61.31933340389184</x:v>
      </x:c>
      <x:c r="BH7" s="9" t="n">
        <x:v>1468.7546727757185</x:v>
      </x:c>
      <x:c r="BI7" s="9" t="n">
        <x:v>2486.401471378249</x:v>
      </x:c>
      <x:c r="BJ7" s="9" t="n">
        <x:v>3767.4222755871397</x:v>
      </x:c>
      <x:c r="BK7" s="9" t="n">
        <x:v>44399.368756781165</x:v>
      </x:c>
      <x:c r="BL7" s="9" t="n">
        <x:v>387.11819324547673</x:v>
      </x:c>
      <x:c r="BM7" s="9" t="n">
        <x:v>0</x:v>
      </x:c>
      <x:c r="BN7" s="9" t="n">
        <x:v>0</x:v>
      </x:c>
      <x:c r="BO7" s="9" t="n">
        <x:v>0</x:v>
      </x:c>
      <x:c r="BP7" s="9" t="n">
        <x:v>0</x:v>
      </x:c>
      <x:c r="BQ7" s="9" t="n">
        <x:v>0</x:v>
      </x:c>
      <x:c r="BR7" s="9" t="n">
        <x:v>0</x:v>
      </x:c>
      <x:c r="BS7" s="9" t="n">
        <x:v>20301030.31711673</x:v>
      </x:c>
      <x:c r="BT7" s="9" t="n">
        <x:v>282.39557543845234</x:v>
      </x:c>
      <x:c r="BU7" s="9" t="n">
        <x:v>-291109.6095834441</x:v>
      </x:c>
      <x:c r="BV7" s="9" t="n">
        <x:v>359811.12478675065</x:v>
      </x:c>
      <x:c r="BW7" s="16" t="n">
        <x:f>SUM(B7:BV7)</x:f>
        <x:v>69435713.29015894</x:v>
      </x:c>
    </x:row>
    <x:row r="8" ht="22" customHeight="1">
      <x:c r="A8" s="2" t="str">
        <x:v>S02</x:v>
      </x:c>
      <x:c r="B8" s="9" t="n">
        <x:v>0</x:v>
      </x:c>
      <x:c r="C8" s="9" t="n">
        <x:v>0</x:v>
      </x:c>
      <x:c r="D8" s="9" t="n">
        <x:v>1357836.1595126074</x:v>
      </x:c>
      <x:c r="E8" s="9" t="n">
        <x:v>1080.181621265797</x:v>
      </x:c>
      <x:c r="F8" s="9" t="n">
        <x:v>250901.1608068821</x:v>
      </x:c>
      <x:c r="G8" s="9" t="n">
        <x:v>2342.8528534986763</x:v>
      </x:c>
      <x:c r="H8" s="9" t="n">
        <x:v>96.8870534442254</x:v>
      </x:c>
      <x:c r="I8" s="9" t="n">
        <x:v>1029.7203956991395</x:v>
      </x:c>
      <x:c r="J8" s="9" t="n">
        <x:v>110.80607420053654</x:v>
      </x:c>
      <x:c r="K8" s="9" t="n">
        <x:v>66.58669869368475</x:v>
      </x:c>
      <x:c r="L8" s="9" t="n">
        <x:v>1780.6737182634497</x:v>
      </x:c>
      <x:c r="M8" s="9" t="n">
        <x:v>107.63965216038041</x:v>
      </x:c>
      <x:c r="N8" s="9" t="n">
        <x:v>635.3483091847904</x:v>
      </x:c>
      <x:c r="O8" s="9" t="n">
        <x:v>1227.3457347337455</x:v>
      </x:c>
      <x:c r="P8" s="9" t="n">
        <x:v>684.8555938843724</x:v>
      </x:c>
      <x:c r="Q8" s="9" t="n">
        <x:v>641.9446944013447</x:v>
      </x:c>
      <x:c r="R8" s="9" t="n">
        <x:v>76.88660112894361</x:v>
      </x:c>
      <x:c r="S8" s="9" t="n">
        <x:v>1881.7319522077423</x:v>
      </x:c>
      <x:c r="T8" s="9" t="n">
        <x:v>625.3517402779022</x:v>
      </x:c>
      <x:c r="U8" s="9" t="n">
        <x:v>572.1096799335305</x:v>
      </x:c>
      <x:c r="V8" s="9" t="n">
        <x:v>182.1254226448498</x:v>
      </x:c>
      <x:c r="W8" s="9" t="n">
        <x:v>614.2793644195079</x:v>
      </x:c>
      <x:c r="X8" s="9" t="n">
        <x:v>297.2698407953096</x:v>
      </x:c>
      <x:c r="Y8" s="9" t="n">
        <x:v>580.6908183137555</x:v>
      </x:c>
      <x:c r="Z8" s="9" t="n">
        <x:v>73.58676577720364</x:v>
      </x:c>
      <x:c r="AA8" s="9" t="n">
        <x:v>94.04747306905107</x:v>
      </x:c>
      <x:c r="AB8" s="9" t="n">
        <x:v>10288.916423738285</x:v>
      </x:c>
      <x:c r="AC8" s="9" t="n">
        <x:v>714.0557153059762</x:v>
      </x:c>
      <x:c r="AD8" s="9" t="n">
        <x:v>102158.86581079265</x:v>
      </x:c>
      <x:c r="AE8" s="9" t="n">
        <x:v>789.437006967553</x:v>
      </x:c>
      <x:c r="AF8" s="9" t="n">
        <x:v>3718.0200848312807</x:v>
      </x:c>
      <x:c r="AG8" s="9" t="n">
        <x:v>1346.6139677193457</x:v>
      </x:c>
      <x:c r="AH8" s="9" t="n">
        <x:v>1345.9892056676074</x:v>
      </x:c>
      <x:c r="AI8" s="9" t="n">
        <x:v>4251.344177130367</x:v>
      </x:c>
      <x:c r="AJ8" s="9" t="n">
        <x:v>220.5307301236736</x:v>
      </x:c>
      <x:c r="AK8" s="9" t="n">
        <x:v>125641.61444471887</x:v>
      </x:c>
      <x:c r="AL8" s="9" t="n">
        <x:v>62.95238612615444</x:v>
      </x:c>
      <x:c r="AM8" s="9" t="n">
        <x:v>162.7250880546053</x:v>
      </x:c>
      <x:c r="AN8" s="9" t="n">
        <x:v>57.277347586701204</x:v>
      </x:c>
      <x:c r="AO8" s="9" t="n">
        <x:v>321.3375467763756</x:v>
      </x:c>
      <x:c r="AP8" s="9" t="n">
        <x:v>13.005873691458033</x:v>
      </x:c>
      <x:c r="AQ8" s="9" t="n">
        <x:v>1.922745056639658</x:v>
      </x:c>
      <x:c r="AR8" s="9" t="n">
        <x:v>14.406978195377357</x:v>
      </x:c>
      <x:c r="AS8" s="9" t="n">
        <x:v>1542.6808908730313</x:v>
      </x:c>
      <x:c r="AT8" s="9" t="n">
        <x:v>0</x:v>
      </x:c>
      <x:c r="AU8" s="9" t="n">
        <x:v>863.6998266951476</x:v>
      </x:c>
      <x:c r="AV8" s="9" t="n">
        <x:v>650.6331565723974</x:v>
      </x:c>
      <x:c r="AW8" s="9" t="n">
        <x:v>45.26786788740837</x:v>
      </x:c>
      <x:c r="AX8" s="9" t="n">
        <x:v>200.52307791022938</x:v>
      </x:c>
      <x:c r="AY8" s="9" t="n">
        <x:v>538.4027431142615</x:v>
      </x:c>
      <x:c r="AZ8" s="9" t="n">
        <x:v>174.88622103940833</x:v>
      </x:c>
      <x:c r="BA8" s="9" t="n">
        <x:v>93.63534843133623</x:v>
      </x:c>
      <x:c r="BB8" s="9" t="n">
        <x:v>705.196288634065</x:v>
      </x:c>
      <x:c r="BC8" s="9" t="n">
        <x:v>1176.17778387128</x:v>
      </x:c>
      <x:c r="BD8" s="9" t="n">
        <x:v>69710.33207121342</x:v>
      </x:c>
      <x:c r="BE8" s="9" t="n">
        <x:v>1368.9990684075456</x:v>
      </x:c>
      <x:c r="BF8" s="9" t="n">
        <x:v>21403.170726496617</x:v>
      </x:c>
      <x:c r="BG8" s="9" t="n">
        <x:v>349.754676210316</x:v>
      </x:c>
      <x:c r="BH8" s="9" t="n">
        <x:v>196.8845056670867</x:v>
      </x:c>
      <x:c r="BI8" s="9" t="n">
        <x:v>662.3034801616416</x:v>
      </x:c>
      <x:c r="BJ8" s="9" t="n">
        <x:v>46.63222443436712</x:v>
      </x:c>
      <x:c r="BK8" s="9" t="n">
        <x:v>51.480513396147316</x:v>
      </x:c>
      <x:c r="BL8" s="9" t="n">
        <x:v>427.4125240014764</x:v>
      </x:c>
      <x:c r="BM8" s="9" t="n">
        <x:v>0</x:v>
      </x:c>
      <x:c r="BN8" s="9" t="n">
        <x:v>0</x:v>
      </x:c>
      <x:c r="BO8" s="9" t="n">
        <x:v>0</x:v>
      </x:c>
      <x:c r="BP8" s="9" t="n">
        <x:v>0</x:v>
      </x:c>
      <x:c r="BQ8" s="9" t="n">
        <x:v>0</x:v>
      </x:c>
      <x:c r="BR8" s="9" t="n">
        <x:v>0</x:v>
      </x:c>
      <x:c r="BS8" s="9" t="n">
        <x:v>12262649.843965597</x:v>
      </x:c>
      <x:c r="BT8" s="9" t="n">
        <x:v>0.6205657453328467</x:v>
      </x:c>
      <x:c r="BU8" s="9" t="n">
        <x:v>40303434.78357746</x:v>
      </x:c>
      <x:c r="BV8" s="9" t="n">
        <x:v>14720468.185329268</x:v>
      </x:c>
      <x:c r="BW8" s="16" t="n">
        <x:f>SUM(B8:BV8)</x:f>
        <x:v>69261410.76434305</x:v>
      </x:c>
    </x:row>
    <x:row r="9" ht="22" customHeight="1">
      <x:c r="A9" s="2" t="str">
        <x:v>S03</x:v>
      </x:c>
      <x:c r="B9" s="9" t="n">
        <x:v>4368243.001290174</x:v>
      </x:c>
      <x:c r="C9" s="9" t="n">
        <x:v>198192.8095192827</x:v>
      </x:c>
      <x:c r="D9" s="9" t="n">
        <x:v>50650.84312619337</x:v>
      </x:c>
      <x:c r="E9" s="9" t="n">
        <x:v>58167164.10596654</x:v>
      </x:c>
      <x:c r="F9" s="9" t="n">
        <x:v>8045510.29551932</x:v>
      </x:c>
      <x:c r="G9" s="9" t="n">
        <x:v>6587524.541046585</x:v>
      </x:c>
      <x:c r="H9" s="9" t="n">
        <x:v>1807956.5041628</x:v>
      </x:c>
      <x:c r="I9" s="9" t="n">
        <x:v>2768079.8861493804</x:v>
      </x:c>
      <x:c r="J9" s="9" t="n">
        <x:v>489142.72173169977</x:v>
      </x:c>
      <x:c r="K9" s="9" t="n">
        <x:v>432231108.1102238</x:v>
      </x:c>
      <x:c r="L9" s="9" t="n">
        <x:v>15828999.738952022</x:v>
      </x:c>
      <x:c r="M9" s="9" t="n">
        <x:v>236336.167835779</x:v>
      </x:c>
      <x:c r="N9" s="9" t="n">
        <x:v>4574641.388043339</x:v>
      </x:c>
      <x:c r="O9" s="9" t="n">
        <x:v>66633183.495738</x:v>
      </x:c>
      <x:c r="P9" s="9" t="n">
        <x:v>103551861.34075832</x:v>
      </x:c>
      <x:c r="Q9" s="9" t="n">
        <x:v>9441331.26913074</x:v>
      </x:c>
      <x:c r="R9" s="9" t="n">
        <x:v>304885.5434923366</x:v>
      </x:c>
      <x:c r="S9" s="9" t="n">
        <x:v>3891308.0256005465</x:v>
      </x:c>
      <x:c r="T9" s="9" t="n">
        <x:v>4112814.426246466</x:v>
      </x:c>
      <x:c r="U9" s="9" t="n">
        <x:v>3460494.052606755</x:v>
      </x:c>
      <x:c r="V9" s="9" t="n">
        <x:v>1225051.1889126897</x:v>
      </x:c>
      <x:c r="W9" s="9" t="n">
        <x:v>3785508.919951352</x:v>
      </x:c>
      <x:c r="X9" s="9" t="n">
        <x:v>1321681.8425101046</x:v>
      </x:c>
      <x:c r="Y9" s="9" t="n">
        <x:v>461740787.6599342</x:v>
      </x:c>
      <x:c r="Z9" s="9" t="n">
        <x:v>762627.8354242782</x:v>
      </x:c>
      <x:c r="AA9" s="9" t="n">
        <x:v>1136444.0322449747</x:v>
      </x:c>
      <x:c r="AB9" s="9" t="n">
        <x:v>83138055.17813908</x:v>
      </x:c>
      <x:c r="AC9" s="9" t="n">
        <x:v>1847105.0683923233</x:v>
      </x:c>
      <x:c r="AD9" s="9" t="n">
        <x:v>14809356.54860666</x:v>
      </x:c>
      <x:c r="AE9" s="9" t="n">
        <x:v>1968734.0972807757</x:v>
      </x:c>
      <x:c r="AF9" s="9" t="n">
        <x:v>36618442.68926089</x:v>
      </x:c>
      <x:c r="AG9" s="9" t="n">
        <x:v>1475746.1877256092</x:v>
      </x:c>
      <x:c r="AH9" s="9" t="n">
        <x:v>164346.50748290587</x:v>
      </x:c>
      <x:c r="AI9" s="9" t="n">
        <x:v>3267263.963324154</x:v>
      </x:c>
      <x:c r="AJ9" s="9" t="n">
        <x:v>186910.43931513876</x:v>
      </x:c>
      <x:c r="AK9" s="9" t="n">
        <x:v>3028591.052244906</x:v>
      </x:c>
      <x:c r="AL9" s="9" t="n">
        <x:v>32502.08152173446</x:v>
      </x:c>
      <x:c r="AM9" s="9" t="n">
        <x:v>87563.2640649867</x:v>
      </x:c>
      <x:c r="AN9" s="9" t="n">
        <x:v>65355.995517293995</x:v>
      </x:c>
      <x:c r="AO9" s="9" t="n">
        <x:v>186251.3528659357</x:v>
      </x:c>
      <x:c r="AP9" s="9" t="n">
        <x:v>40282.907197400746</x:v>
      </x:c>
      <x:c r="AQ9" s="9" t="n">
        <x:v>1713.96739010543</x:v>
      </x:c>
      <x:c r="AR9" s="9" t="n">
        <x:v>56122.37597150582</x:v>
      </x:c>
      <x:c r="AS9" s="9" t="n">
        <x:v>1585888.5971635438</x:v>
      </x:c>
      <x:c r="AT9" s="9" t="n">
        <x:v>359066.84719499043</x:v>
      </x:c>
      <x:c r="AU9" s="9" t="n">
        <x:v>1301489.3113554774</x:v>
      </x:c>
      <x:c r="AV9" s="9" t="n">
        <x:v>2826342.2125798278</x:v>
      </x:c>
      <x:c r="AW9" s="9" t="n">
        <x:v>63203.69525248471</x:v>
      </x:c>
      <x:c r="AX9" s="9" t="n">
        <x:v>236891.92575932725</x:v>
      </x:c>
      <x:c r="AY9" s="9" t="n">
        <x:v>243986.69225849333</x:v>
      </x:c>
      <x:c r="AZ9" s="9" t="n">
        <x:v>561711.6806282791</x:v>
      </x:c>
      <x:c r="BA9" s="9" t="n">
        <x:v>116421.06810148597</x:v>
      </x:c>
      <x:c r="BB9" s="9" t="n">
        <x:v>481999.71037434903</x:v>
      </x:c>
      <x:c r="BC9" s="9" t="n">
        <x:v>1602886.4570569885</x:v>
      </x:c>
      <x:c r="BD9" s="9" t="n">
        <x:v>600175.1962081306</x:v>
      </x:c>
      <x:c r="BE9" s="9" t="n">
        <x:v>272550.9036584217</x:v>
      </x:c>
      <x:c r="BF9" s="9" t="n">
        <x:v>3426921.1343359197</x:v>
      </x:c>
      <x:c r="BG9" s="9" t="n">
        <x:v>66015.54550892486</x:v>
      </x:c>
      <x:c r="BH9" s="9" t="n">
        <x:v>229237.00909017012</x:v>
      </x:c>
      <x:c r="BI9" s="9" t="n">
        <x:v>146629.6569963853</x:v>
      </x:c>
      <x:c r="BJ9" s="9" t="n">
        <x:v>66962.704784878</x:v>
      </x:c>
      <x:c r="BK9" s="9" t="n">
        <x:v>62904.756874769075</x:v>
      </x:c>
      <x:c r="BL9" s="9" t="n">
        <x:v>301875.7572433088</x:v>
      </x:c>
      <x:c r="BM9" s="9" t="n">
        <x:v>0</x:v>
      </x:c>
      <x:c r="BN9" s="9" t="n">
        <x:v>0</x:v>
      </x:c>
      <x:c r="BO9" s="9" t="n">
        <x:v>0</x:v>
      </x:c>
      <x:c r="BP9" s="9" t="n">
        <x:v>0</x:v>
      </x:c>
      <x:c r="BQ9" s="9" t="n">
        <x:v>0</x:v>
      </x:c>
      <x:c r="BR9" s="9" t="n">
        <x:v>0</x:v>
      </x:c>
      <x:c r="BS9" s="9" t="n">
        <x:v>48854651.35250571</x:v>
      </x:c>
      <x:c r="BT9" s="9" t="n">
        <x:v>3332417.8529819325</x:v>
      </x:c>
      <x:c r="BU9" s="9" t="n">
        <x:v>38772962.85984239</x:v>
      </x:c>
      <x:c r="BV9" s="9" t="n">
        <x:v>76817277.13606384</x:v>
      </x:c>
      <x:c r="BW9" s="16" t="n">
        <x:f>SUM(B9:BV9)</x:f>
        <x:v>1526026343.486239</x:v>
      </x:c>
    </x:row>
    <x:row r="10" ht="22" customHeight="1">
      <x:c r="A10" s="2" t="str">
        <x:v>S04</x:v>
      </x:c>
      <x:c r="B10" s="9" t="n">
        <x:v>79995434.99649224</x:v>
      </x:c>
      <x:c r="C10" s="9" t="n">
        <x:v>46981.54392270114</x:v>
      </x:c>
      <x:c r="D10" s="9" t="n">
        <x:v>2171060.703740531</x:v>
      </x:c>
      <x:c r="E10" s="9" t="n">
        <x:v>3227901.6147694243</x:v>
      </x:c>
      <x:c r="F10" s="9" t="n">
        <x:v>412786628.99052626</x:v>
      </x:c>
      <x:c r="G10" s="9" t="n">
        <x:v>17475567.108324558</x:v>
      </x:c>
      <x:c r="H10" s="9" t="n">
        <x:v>2345987.482226613</x:v>
      </x:c>
      <x:c r="I10" s="9" t="n">
        <x:v>14919367.90687503</x:v>
      </x:c>
      <x:c r="J10" s="9" t="n">
        <x:v>2604572.963610208</x:v>
      </x:c>
      <x:c r="K10" s="9" t="n">
        <x:v>2969989.465276012</x:v>
      </x:c>
      <x:c r="L10" s="9" t="n">
        <x:v>10915798.220360551</x:v>
      </x:c>
      <x:c r="M10" s="9" t="n">
        <x:v>2430172.3847054574</x:v>
      </x:c>
      <x:c r="N10" s="9" t="n">
        <x:v>7764607.129014874</x:v>
      </x:c>
      <x:c r="O10" s="9" t="n">
        <x:v>4968842.527855618</x:v>
      </x:c>
      <x:c r="P10" s="9" t="n">
        <x:v>3014461.0267477413</x:v>
      </x:c>
      <x:c r="Q10" s="9" t="n">
        <x:v>4043727.921168581</x:v>
      </x:c>
      <x:c r="R10" s="9" t="n">
        <x:v>710576.2282215809</x:v>
      </x:c>
      <x:c r="S10" s="9" t="n">
        <x:v>2640791.2668762</x:v>
      </x:c>
      <x:c r="T10" s="9" t="n">
        <x:v>3587592.8997787605</x:v>
      </x:c>
      <x:c r="U10" s="9" t="n">
        <x:v>3603835.016598692</x:v>
      </x:c>
      <x:c r="V10" s="9" t="n">
        <x:v>1175411.9740160264</x:v>
      </x:c>
      <x:c r="W10" s="9" t="n">
        <x:v>3024798.6815329925</x:v>
      </x:c>
      <x:c r="X10" s="9" t="n">
        <x:v>1531274.0585902007</x:v>
      </x:c>
      <x:c r="Y10" s="9" t="n">
        <x:v>9528373.63774779</x:v>
      </x:c>
      <x:c r="Z10" s="9" t="n">
        <x:v>656439.0801865266</x:v>
      </x:c>
      <x:c r="AA10" s="9" t="n">
        <x:v>1562970.008465465</x:v>
      </x:c>
      <x:c r="AB10" s="9" t="n">
        <x:v>47684748.327586286</x:v>
      </x:c>
      <x:c r="AC10" s="9" t="n">
        <x:v>4828602.455906025</x:v>
      </x:c>
      <x:c r="AD10" s="9" t="n">
        <x:v>12291421.69689131</x:v>
      </x:c>
      <x:c r="AE10" s="9" t="n">
        <x:v>9840531.094272148</x:v>
      </x:c>
      <x:c r="AF10" s="9" t="n">
        <x:v>13448560.380468694</x:v>
      </x:c>
      <x:c r="AG10" s="9" t="n">
        <x:v>455924.52801218256</x:v>
      </x:c>
      <x:c r="AH10" s="9" t="n">
        <x:v>747386.8564918983</x:v>
      </x:c>
      <x:c r="AI10" s="9" t="n">
        <x:v>5682226.899378835</x:v>
      </x:c>
      <x:c r="AJ10" s="9" t="n">
        <x:v>1462220.4401844</x:v>
      </x:c>
      <x:c r="AK10" s="9" t="n">
        <x:v>213519771.13715166</x:v>
      </x:c>
      <x:c r="AL10" s="9" t="n">
        <x:v>827873.9293114389</x:v>
      </x:c>
      <x:c r="AM10" s="9" t="n">
        <x:v>505786.9740137538</x:v>
      </x:c>
      <x:c r="AN10" s="9" t="n">
        <x:v>441685.450898838</x:v>
      </x:c>
      <x:c r="AO10" s="9" t="n">
        <x:v>900807.6438194886</x:v>
      </x:c>
      <x:c r="AP10" s="9" t="n">
        <x:v>1047301.0702828774</x:v>
      </x:c>
      <x:c r="AQ10" s="9" t="n">
        <x:v>35983.2280112304</x:v>
      </x:c>
      <x:c r="AR10" s="9" t="n">
        <x:v>279964.80379408004</x:v>
      </x:c>
      <x:c r="AS10" s="9" t="n">
        <x:v>5394915.666616565</x:v>
      </x:c>
      <x:c r="AT10" s="9" t="n">
        <x:v>295716.13203930017</x:v>
      </x:c>
      <x:c r="AU10" s="9" t="n">
        <x:v>4537863.675410744</x:v>
      </x:c>
      <x:c r="AV10" s="9" t="n">
        <x:v>2138865.816843731</x:v>
      </x:c>
      <x:c r="AW10" s="9" t="n">
        <x:v>113978.71521082545</x:v>
      </x:c>
      <x:c r="AX10" s="9" t="n">
        <x:v>1751218.1572374084</x:v>
      </x:c>
      <x:c r="AY10" s="9" t="n">
        <x:v>1845887.0643999171</x:v>
      </x:c>
      <x:c r="AZ10" s="9" t="n">
        <x:v>1544260.9184781555</x:v>
      </x:c>
      <x:c r="BA10" s="9" t="n">
        <x:v>481612.48311498924</x:v>
      </x:c>
      <x:c r="BB10" s="9" t="n">
        <x:v>2384620.4451938523</x:v>
      </x:c>
      <x:c r="BC10" s="9" t="n">
        <x:v>7112641.756606765</x:v>
      </x:c>
      <x:c r="BD10" s="9" t="n">
        <x:v>18810762.279891245</x:v>
      </x:c>
      <x:c r="BE10" s="9" t="n">
        <x:v>3731123.7750368663</x:v>
      </x:c>
      <x:c r="BF10" s="9" t="n">
        <x:v>4402392.804651558</x:v>
      </x:c>
      <x:c r="BG10" s="9" t="n">
        <x:v>4288570.398108515</x:v>
      </x:c>
      <x:c r="BH10" s="9" t="n">
        <x:v>5348168.612866947</x:v>
      </x:c>
      <x:c r="BI10" s="9" t="n">
        <x:v>1980764.4163217454</x:v>
      </x:c>
      <x:c r="BJ10" s="9" t="n">
        <x:v>2751920.9465997745</x:v>
      </x:c>
      <x:c r="BK10" s="9" t="n">
        <x:v>260693.9675737485</x:v>
      </x:c>
      <x:c r="BL10" s="9" t="n">
        <x:v>2006985.910060292</x:v>
      </x:c>
      <x:c r="BM10" s="9" t="n">
        <x:v>0</x:v>
      </x:c>
      <x:c r="BN10" s="9" t="n">
        <x:v>0</x:v>
      </x:c>
      <x:c r="BO10" s="9" t="n">
        <x:v>0</x:v>
      </x:c>
      <x:c r="BP10" s="9" t="n">
        <x:v>0</x:v>
      </x:c>
      <x:c r="BQ10" s="9" t="n">
        <x:v>0</x:v>
      </x:c>
      <x:c r="BR10" s="9" t="n">
        <x:v>0</x:v>
      </x:c>
      <x:c r="BS10" s="9" t="n">
        <x:v>1879427985.8379426</x:v>
      </x:c>
      <x:c r="BT10" s="9" t="n">
        <x:v>1200962.5779963203</x:v>
      </x:c>
      <x:c r="BU10" s="9" t="n">
        <x:v>-160778283.55388921</x:v>
      </x:c>
      <x:c r="BV10" s="9" t="n">
        <x:v>409319929.1007709</x:v>
      </x:c>
      <x:c r="BW10" s="16" t="n">
        <x:f>SUM(B10:BV10)</x:f>
        <x:v>3114057519.659189</x:v>
      </x:c>
    </x:row>
    <x:row r="11" ht="22" customHeight="1">
      <x:c r="A11" s="2" t="str">
        <x:v>S05</x:v>
      </x:c>
      <x:c r="B11" s="9" t="n">
        <x:v>2564962.3532523</x:v>
      </x:c>
      <x:c r="C11" s="9" t="n">
        <x:v>85213.37929794705</x:v>
      </x:c>
      <x:c r="D11" s="9" t="n">
        <x:v>178097.25371711428</x:v>
      </x:c>
      <x:c r="E11" s="9" t="n">
        <x:v>1385505.4891339296</x:v>
      </x:c>
      <x:c r="F11" s="9" t="n">
        <x:v>6893399.870128865</x:v>
      </x:c>
      <x:c r="G11" s="9" t="n">
        <x:v>657245910.5302572</x:v>
      </x:c>
      <x:c r="H11" s="9" t="n">
        <x:v>873078.7937855043</x:v>
      </x:c>
      <x:c r="I11" s="9" t="n">
        <x:v>8540528.001561891</x:v>
      </x:c>
      <x:c r="J11" s="9" t="n">
        <x:v>3630103.862710064</x:v>
      </x:c>
      <x:c r="K11" s="9" t="n">
        <x:v>386169.05468811915</x:v>
      </x:c>
      <x:c r="L11" s="9" t="n">
        <x:v>7134659.680835281</x:v>
      </x:c>
      <x:c r="M11" s="9" t="n">
        <x:v>1034784.1202063912</x:v>
      </x:c>
      <x:c r="N11" s="9" t="n">
        <x:v>12604185.170901798</x:v>
      </x:c>
      <x:c r="O11" s="9" t="n">
        <x:v>4128620.6563711967</x:v>
      </x:c>
      <x:c r="P11" s="9" t="n">
        <x:v>2100361.425885889</x:v>
      </x:c>
      <x:c r="Q11" s="9" t="n">
        <x:v>3917770.769100286</x:v>
      </x:c>
      <x:c r="R11" s="9" t="n">
        <x:v>648888.9793435796</x:v>
      </x:c>
      <x:c r="S11" s="9" t="n">
        <x:v>3114191.1033430607</x:v>
      </x:c>
      <x:c r="T11" s="9" t="n">
        <x:v>6708853.110628738</x:v>
      </x:c>
      <x:c r="U11" s="9" t="n">
        <x:v>9660952.520802204</x:v>
      </x:c>
      <x:c r="V11" s="9" t="n">
        <x:v>2649968.1516350154</x:v>
      </x:c>
      <x:c r="W11" s="9" t="n">
        <x:v>19301048.356537174</x:v>
      </x:c>
      <x:c r="X11" s="9" t="n">
        <x:v>1560561.0458698317</x:v>
      </x:c>
      <x:c r="Y11" s="9" t="n">
        <x:v>5503881.584697899</x:v>
      </x:c>
      <x:c r="Z11" s="9" t="n">
        <x:v>220877.92320614352</x:v>
      </x:c>
      <x:c r="AA11" s="9" t="n">
        <x:v>2893707.6030698167</x:v>
      </x:c>
      <x:c r="AB11" s="9" t="n">
        <x:v>23673871.737513278</x:v>
      </x:c>
      <x:c r="AC11" s="9" t="n">
        <x:v>3435489.429864002</x:v>
      </x:c>
      <x:c r="AD11" s="9" t="n">
        <x:v>23998667.108108476</x:v>
      </x:c>
      <x:c r="AE11" s="9" t="n">
        <x:v>8318448.9129438205</x:v>
      </x:c>
      <x:c r="AF11" s="9" t="n">
        <x:v>5946789.538044509</x:v>
      </x:c>
      <x:c r="AG11" s="9" t="n">
        <x:v>515629.9114285527</x:v>
      </x:c>
      <x:c r="AH11" s="9" t="n">
        <x:v>660573.2902846839</x:v>
      </x:c>
      <x:c r="AI11" s="9" t="n">
        <x:v>2244873.4590408797</x:v>
      </x:c>
      <x:c r="AJ11" s="9" t="n">
        <x:v>1121933.6757836042</x:v>
      </x:c>
      <x:c r="AK11" s="9" t="n">
        <x:v>7939489.89538229</x:v>
      </x:c>
      <x:c r="AL11" s="9" t="n">
        <x:v>765503.9161606898</x:v>
      </x:c>
      <x:c r="AM11" s="9" t="n">
        <x:v>447116.6389509087</x:v>
      </x:c>
      <x:c r="AN11" s="9" t="n">
        <x:v>322135.24589016</x:v>
      </x:c>
      <x:c r="AO11" s="9" t="n">
        <x:v>548586.0590574748</x:v>
      </x:c>
      <x:c r="AP11" s="9" t="n">
        <x:v>404644.86616569734</x:v>
      </x:c>
      <x:c r="AQ11" s="9" t="n">
        <x:v>30108.528378836363</x:v>
      </x:c>
      <x:c r="AR11" s="9" t="n">
        <x:v>171222.351717858</x:v>
      </x:c>
      <x:c r="AS11" s="9" t="n">
        <x:v>2581375.859677985</x:v>
      </x:c>
      <x:c r="AT11" s="9" t="n">
        <x:v>266382.90604596306</x:v>
      </x:c>
      <x:c r="AU11" s="9" t="n">
        <x:v>2287771.2315669996</x:v>
      </x:c>
      <x:c r="AV11" s="9" t="n">
        <x:v>1485303.0483148156</x:v>
      </x:c>
      <x:c r="AW11" s="9" t="n">
        <x:v>59521.91377946698</x:v>
      </x:c>
      <x:c r="AX11" s="9" t="n">
        <x:v>1911137.0874901765</x:v>
      </x:c>
      <x:c r="AY11" s="9" t="n">
        <x:v>1083614.4381278253</x:v>
      </x:c>
      <x:c r="AZ11" s="9" t="n">
        <x:v>664263.932251993</x:v>
      </x:c>
      <x:c r="BA11" s="9" t="n">
        <x:v>301960.2624483053</x:v>
      </x:c>
      <x:c r="BB11" s="9" t="n">
        <x:v>1022066.3563462027</x:v>
      </x:c>
      <x:c r="BC11" s="9" t="n">
        <x:v>3789002.1833732007</x:v>
      </x:c>
      <x:c r="BD11" s="9" t="n">
        <x:v>8160364.5984849995</x:v>
      </x:c>
      <x:c r="BE11" s="9" t="n">
        <x:v>1170052.1265949751</x:v>
      </x:c>
      <x:c r="BF11" s="9" t="n">
        <x:v>1796100.5103917157</x:v>
      </x:c>
      <x:c r="BG11" s="9" t="n">
        <x:v>300059.797245807</x:v>
      </x:c>
      <x:c r="BH11" s="9" t="n">
        <x:v>492176.67665276735</x:v>
      </x:c>
      <x:c r="BI11" s="9" t="n">
        <x:v>928882.6604350077</x:v>
      </x:c>
      <x:c r="BJ11" s="9" t="n">
        <x:v>274557.9817852002</x:v>
      </x:c>
      <x:c r="BK11" s="9" t="n">
        <x:v>246121.53004658627</x:v>
      </x:c>
      <x:c r="BL11" s="9" t="n">
        <x:v>1353939.7905647908</x:v>
      </x:c>
      <x:c r="BM11" s="9" t="n">
        <x:v>0</x:v>
      </x:c>
      <x:c r="BN11" s="9" t="n">
        <x:v>0</x:v>
      </x:c>
      <x:c r="BO11" s="9" t="n">
        <x:v>0</x:v>
      </x:c>
      <x:c r="BP11" s="9" t="n">
        <x:v>0</x:v>
      </x:c>
      <x:c r="BQ11" s="9" t="n">
        <x:v>0</x:v>
      </x:c>
      <x:c r="BR11" s="9" t="n">
        <x:v>0</x:v>
      </x:c>
      <x:c r="BS11" s="9" t="n">
        <x:v>947012899.2995019</x:v>
      </x:c>
      <x:c r="BT11" s="9" t="n">
        <x:v>520833.6833862626</x:v>
      </x:c>
      <x:c r="BU11" s="9" t="n">
        <x:v>-25952489.101213433</x:v>
      </x:c>
      <x:c r="BV11" s="9" t="n">
        <x:v>595037882.282075</x:v>
      </x:c>
      <x:c r="BW11" s="16" t="n">
        <x:f>SUM(B11:BV11)</x:f>
        <x:v>2392305146.4110575</x:v>
      </x:c>
    </x:row>
    <x:row r="12" ht="22" customHeight="1">
      <x:c r="A12" s="2" t="str">
        <x:v>S06</x:v>
      </x:c>
      <x:c r="B12" s="9" t="n">
        <x:v>1441681.0736629213</x:v>
      </x:c>
      <x:c r="C12" s="9" t="n">
        <x:v>18939.015375903644</x:v>
      </x:c>
      <x:c r="D12" s="9" t="n">
        <x:v>31657.80637404901</x:v>
      </x:c>
      <x:c r="E12" s="9" t="n">
        <x:v>1376587.450891987</x:v>
      </x:c>
      <x:c r="F12" s="9" t="n">
        <x:v>5844669.010480482</x:v>
      </x:c>
      <x:c r="G12" s="9" t="n">
        <x:v>2460937.3510074755</x:v>
      </x:c>
      <x:c r="H12" s="9" t="n">
        <x:v>45440307.341249496</x:v>
      </x:c>
      <x:c r="I12" s="9" t="n">
        <x:v>2295748.077610655</x:v>
      </x:c>
      <x:c r="J12" s="9" t="n">
        <x:v>471283.0849261693</x:v>
      </x:c>
      <x:c r="K12" s="9" t="n">
        <x:v>231512.43551853602</x:v>
      </x:c>
      <x:c r="L12" s="9" t="n">
        <x:v>1662589.1739825695</x:v>
      </x:c>
      <x:c r="M12" s="9" t="n">
        <x:v>131345.10988304106</x:v>
      </x:c>
      <x:c r="N12" s="9" t="n">
        <x:v>4285018.974227071</x:v>
      </x:c>
      <x:c r="O12" s="9" t="n">
        <x:v>9803550.70632481</x:v>
      </x:c>
      <x:c r="P12" s="9" t="n">
        <x:v>4072672.4173276243</x:v>
      </x:c>
      <x:c r="Q12" s="9" t="n">
        <x:v>9361423.316125615</x:v>
      </x:c>
      <x:c r="R12" s="9" t="n">
        <x:v>462596.7724233662</x:v>
      </x:c>
      <x:c r="S12" s="9" t="n">
        <x:v>4317438.850078112</x:v>
      </x:c>
      <x:c r="T12" s="9" t="n">
        <x:v>3287500.666862115</x:v>
      </x:c>
      <x:c r="U12" s="9" t="n">
        <x:v>6548590.989719085</x:v>
      </x:c>
      <x:c r="V12" s="9" t="n">
        <x:v>1807802.461006959</x:v>
      </x:c>
      <x:c r="W12" s="9" t="n">
        <x:v>29512793.42165786</x:v>
      </x:c>
      <x:c r="X12" s="9" t="n">
        <x:v>1016397.414734915</x:v>
      </x:c>
      <x:c r="Y12" s="9" t="n">
        <x:v>1974993.2330451207</x:v>
      </x:c>
      <x:c r="Z12" s="9" t="n">
        <x:v>187291.58258038943</x:v>
      </x:c>
      <x:c r="AA12" s="9" t="n">
        <x:v>536670.146096494</x:v>
      </x:c>
      <x:c r="AB12" s="9" t="n">
        <x:v>63080887.21671826</x:v>
      </x:c>
      <x:c r="AC12" s="9" t="n">
        <x:v>1003846.9384263575</x:v>
      </x:c>
      <x:c r="AD12" s="9" t="n">
        <x:v>5125950.206637167</x:v>
      </x:c>
      <x:c r="AE12" s="9" t="n">
        <x:v>3071223.8982470995</x:v>
      </x:c>
      <x:c r="AF12" s="9" t="n">
        <x:v>4913395.3319549</x:v>
      </x:c>
      <x:c r="AG12" s="9" t="n">
        <x:v>352274.612987806</x:v>
      </x:c>
      <x:c r="AH12" s="9" t="n">
        <x:v>81007.55425044686</x:v>
      </x:c>
      <x:c r="AI12" s="9" t="n">
        <x:v>732395.6368013294</x:v>
      </x:c>
      <x:c r="AJ12" s="9" t="n">
        <x:v>171307.52746751963</x:v>
      </x:c>
      <x:c r="AK12" s="9" t="n">
        <x:v>2288845.6425764766</x:v>
      </x:c>
      <x:c r="AL12" s="9" t="n">
        <x:v>33619.762716065576</x:v>
      </x:c>
      <x:c r="AM12" s="9" t="n">
        <x:v>73216.67049214183</x:v>
      </x:c>
      <x:c r="AN12" s="9" t="n">
        <x:v>66178.43775663737</x:v>
      </x:c>
      <x:c r="AO12" s="9" t="n">
        <x:v>158893.28118744394</x:v>
      </x:c>
      <x:c r="AP12" s="9" t="n">
        <x:v>27093.072140164462</x:v>
      </x:c>
      <x:c r="AQ12" s="9" t="n">
        <x:v>354.7269971079462</x:v>
      </x:c>
      <x:c r="AR12" s="9" t="n">
        <x:v>6616.32352858484</x:v>
      </x:c>
      <x:c r="AS12" s="9" t="n">
        <x:v>1059138.2734031256</x:v>
      </x:c>
      <x:c r="AT12" s="9" t="n">
        <x:v>195740.87330417475</x:v>
      </x:c>
      <x:c r="AU12" s="9" t="n">
        <x:v>803612.8585993026</x:v>
      </x:c>
      <x:c r="AV12" s="9" t="n">
        <x:v>2270640.58794211</x:v>
      </x:c>
      <x:c r="AW12" s="9" t="n">
        <x:v>15042.99208000187</x:v>
      </x:c>
      <x:c r="AX12" s="9" t="n">
        <x:v>413562.09692291834</x:v>
      </x:c>
      <x:c r="AY12" s="9" t="n">
        <x:v>538366.857613354</x:v>
      </x:c>
      <x:c r="AZ12" s="9" t="n">
        <x:v>787398.6176661071</x:v>
      </x:c>
      <x:c r="BA12" s="9" t="n">
        <x:v>31747.778885334523</x:v>
      </x:c>
      <x:c r="BB12" s="9" t="n">
        <x:v>154217.12807607866</x:v>
      </x:c>
      <x:c r="BC12" s="9" t="n">
        <x:v>578816.7253054571</x:v>
      </x:c>
      <x:c r="BD12" s="9" t="n">
        <x:v>469970.4003047599</x:v>
      </x:c>
      <x:c r="BE12" s="9" t="n">
        <x:v>129586.66337155296</x:v>
      </x:c>
      <x:c r="BF12" s="9" t="n">
        <x:v>479100.50379671704</x:v>
      </x:c>
      <x:c r="BG12" s="9" t="n">
        <x:v>85126.26282107663</x:v>
      </x:c>
      <x:c r="BH12" s="9" t="n">
        <x:v>153285.2303011819</x:v>
      </x:c>
      <x:c r="BI12" s="9" t="n">
        <x:v>118302.65827105174</x:v>
      </x:c>
      <x:c r="BJ12" s="9" t="n">
        <x:v>34343.082654701386</x:v>
      </x:c>
      <x:c r="BK12" s="9" t="n">
        <x:v>112092.1271039851</x:v>
      </x:c>
      <x:c r="BL12" s="9" t="n">
        <x:v>247018.75691278945</x:v>
      </x:c>
      <x:c r="BM12" s="9" t="n">
        <x:v>0</x:v>
      </x:c>
      <x:c r="BN12" s="9" t="n">
        <x:v>0</x:v>
      </x:c>
      <x:c r="BO12" s="9" t="n">
        <x:v>0</x:v>
      </x:c>
      <x:c r="BP12" s="9" t="n">
        <x:v>0</x:v>
      </x:c>
      <x:c r="BQ12" s="9" t="n">
        <x:v>0</x:v>
      </x:c>
      <x:c r="BR12" s="9" t="n">
        <x:v>0</x:v>
      </x:c>
      <x:c r="BS12" s="9" t="n">
        <x:v>6041347.466832593</x:v>
      </x:c>
      <x:c r="BT12" s="9" t="n">
        <x:v>38147.89537856765</x:v>
      </x:c>
      <x:c r="BU12" s="9" t="n">
        <x:v>26461668.704977453</x:v>
      </x:c>
      <x:c r="BV12" s="9" t="n">
        <x:v>38279451.308882706</x:v>
      </x:c>
      <x:c r="BW12" s="16" t="n">
        <x:f>SUM(B12:BV12)</x:f>
        <x:v>299266830.57546544</x:v>
      </x:c>
    </x:row>
    <x:row r="13" ht="22" customHeight="1">
      <x:c r="A13" s="2" t="str">
        <x:v>S07</x:v>
      </x:c>
      <x:c r="B13" s="9" t="n">
        <x:v>5368480.483121321</x:v>
      </x:c>
      <x:c r="C13" s="9" t="n">
        <x:v>192409.91208015668</x:v>
      </x:c>
      <x:c r="D13" s="9" t="n">
        <x:v>239391.92361817995</x:v>
      </x:c>
      <x:c r="E13" s="9" t="n">
        <x:v>873695.382920562</x:v>
      </x:c>
      <x:c r="F13" s="9" t="n">
        <x:v>24672529.79687889</x:v>
      </x:c>
      <x:c r="G13" s="9" t="n">
        <x:v>21819430.302769747</x:v>
      </x:c>
      <x:c r="H13" s="9" t="n">
        <x:v>10614533.958808267</x:v>
      </x:c>
      <x:c r="I13" s="9" t="n">
        <x:v>91916950.69230774</x:v>
      </x:c>
      <x:c r="J13" s="9" t="n">
        <x:v>17842190.548812494</x:v>
      </x:c>
      <x:c r="K13" s="9" t="n">
        <x:v>778444.3655888507</x:v>
      </x:c>
      <x:c r="L13" s="9" t="n">
        <x:v>13060688.113500563</x:v>
      </x:c>
      <x:c r="M13" s="9" t="n">
        <x:v>2309663.867421276</x:v>
      </x:c>
      <x:c r="N13" s="9" t="n">
        <x:v>17685331.879256465</x:v>
      </x:c>
      <x:c r="O13" s="9" t="n">
        <x:v>6925925.46600082</x:v>
      </x:c>
      <x:c r="P13" s="9" t="n">
        <x:v>2471313.030105789</x:v>
      </x:c>
      <x:c r="Q13" s="9" t="n">
        <x:v>4332674.610373767</x:v>
      </x:c>
      <x:c r="R13" s="9" t="n">
        <x:v>1205311.7802195423</x:v>
      </x:c>
      <x:c r="S13" s="9" t="n">
        <x:v>4848669.090219327</x:v>
      </x:c>
      <x:c r="T13" s="9" t="n">
        <x:v>3896730.8719731453</x:v>
      </x:c>
      <x:c r="U13" s="9" t="n">
        <x:v>4996601.848907569</x:v>
      </x:c>
      <x:c r="V13" s="9" t="n">
        <x:v>914353.8528832798</x:v>
      </x:c>
      <x:c r="W13" s="9" t="n">
        <x:v>5299483.532160826</x:v>
      </x:c>
      <x:c r="X13" s="9" t="n">
        <x:v>2252005.8099736115</x:v>
      </x:c>
      <x:c r="Y13" s="9" t="n">
        <x:v>3268146.261704247</x:v>
      </x:c>
      <x:c r="Z13" s="9" t="n">
        <x:v>304762.4761850634</x:v>
      </x:c>
      <x:c r="AA13" s="9" t="n">
        <x:v>3744652.760517084</x:v>
      </x:c>
      <x:c r="AB13" s="9" t="n">
        <x:v>8977965.575364087</x:v>
      </x:c>
      <x:c r="AC13" s="9" t="n">
        <x:v>1419269.1144224757</x:v>
      </x:c>
      <x:c r="AD13" s="9" t="n">
        <x:v>11071977.681081079</x:v>
      </x:c>
      <x:c r="AE13" s="9" t="n">
        <x:v>16323624.365740415</x:v>
      </x:c>
      <x:c r="AF13" s="9" t="n">
        <x:v>2834580.2977559026</x:v>
      </x:c>
      <x:c r="AG13" s="9" t="n">
        <x:v>178169.98448534874</x:v>
      </x:c>
      <x:c r="AH13" s="9" t="n">
        <x:v>354915.81431756204</x:v>
      </x:c>
      <x:c r="AI13" s="9" t="n">
        <x:v>1102892.224414728</x:v>
      </x:c>
      <x:c r="AJ13" s="9" t="n">
        <x:v>582462.5308721473</x:v>
      </x:c>
      <x:c r="AK13" s="9" t="n">
        <x:v>6882640.122935549</x:v>
      </x:c>
      <x:c r="AL13" s="9" t="n">
        <x:v>3534178.4452046664</x:v>
      </x:c>
      <x:c r="AM13" s="9" t="n">
        <x:v>165836.96095282954</x:v>
      </x:c>
      <x:c r="AN13" s="9" t="n">
        <x:v>190634.11686611854</x:v>
      </x:c>
      <x:c r="AO13" s="9" t="n">
        <x:v>605981.7988713416</x:v>
      </x:c>
      <x:c r="AP13" s="9" t="n">
        <x:v>4399177.589346961</x:v>
      </x:c>
      <x:c r="AQ13" s="9" t="n">
        <x:v>74429.87554153512</x:v>
      </x:c>
      <x:c r="AR13" s="9" t="n">
        <x:v>1556368.8766067303</x:v>
      </x:c>
      <x:c r="AS13" s="9" t="n">
        <x:v>1134043.8457562614</x:v>
      </x:c>
      <x:c r="AT13" s="9" t="n">
        <x:v>331087.13620458427</x:v>
      </x:c>
      <x:c r="AU13" s="9" t="n">
        <x:v>983400.9014060649</x:v>
      </x:c>
      <x:c r="AV13" s="9" t="n">
        <x:v>963774.8633412935</x:v>
      </x:c>
      <x:c r="AW13" s="9" t="n">
        <x:v>115170.235903499</x:v>
      </x:c>
      <x:c r="AX13" s="9" t="n">
        <x:v>1716066.9190887185</x:v>
      </x:c>
      <x:c r="AY13" s="9" t="n">
        <x:v>1004480.1450316567</x:v>
      </x:c>
      <x:c r="AZ13" s="9" t="n">
        <x:v>244597.4930213601</x:v>
      </x:c>
      <x:c r="BA13" s="9" t="n">
        <x:v>112553.61635821535</x:v>
      </x:c>
      <x:c r="BB13" s="9" t="n">
        <x:v>376978.7688015569</x:v>
      </x:c>
      <x:c r="BC13" s="9" t="n">
        <x:v>2338895.4248886984</x:v>
      </x:c>
      <x:c r="BD13" s="9" t="n">
        <x:v>4727053.131478118</x:v>
      </x:c>
      <x:c r="BE13" s="9" t="n">
        <x:v>2891032.292347593</x:v>
      </x:c>
      <x:c r="BF13" s="9" t="n">
        <x:v>3431761.805995765</x:v>
      </x:c>
      <x:c r="BG13" s="9" t="n">
        <x:v>533327.0993697657</x:v>
      </x:c>
      <x:c r="BH13" s="9" t="n">
        <x:v>968562.6791266784</x:v>
      </x:c>
      <x:c r="BI13" s="9" t="n">
        <x:v>357905.1820048278</x:v>
      </x:c>
      <x:c r="BJ13" s="9" t="n">
        <x:v>176429.01801308923</x:v>
      </x:c>
      <x:c r="BK13" s="9" t="n">
        <x:v>113094.76405140213</x:v>
      </x:c>
      <x:c r="BL13" s="9" t="n">
        <x:v>658443.4671751275</x:v>
      </x:c>
      <x:c r="BM13" s="9" t="n">
        <x:v>0</x:v>
      </x:c>
      <x:c r="BN13" s="9" t="n">
        <x:v>0</x:v>
      </x:c>
      <x:c r="BO13" s="9" t="n">
        <x:v>0</x:v>
      </x:c>
      <x:c r="BP13" s="9" t="n">
        <x:v>0</x:v>
      </x:c>
      <x:c r="BQ13" s="9" t="n">
        <x:v>0</x:v>
      </x:c>
      <x:c r="BR13" s="9" t="n">
        <x:v>0</x:v>
      </x:c>
      <x:c r="BS13" s="9" t="n">
        <x:v>111344692.97165245</x:v>
      </x:c>
      <x:c r="BT13" s="9" t="n">
        <x:v>29251.72417260028</x:v>
      </x:c>
      <x:c r="BU13" s="9" t="n">
        <x:v>18811544.500694863</x:v>
      </x:c>
      <x:c r="BV13" s="9" t="n">
        <x:v>78424453.0647092</x:v>
      </x:c>
      <x:c r="BW13" s="16" t="n">
        <x:f>SUM(B13:BV13)</x:f>
        <x:v>543878079.0436813</x:v>
      </x:c>
    </x:row>
    <x:row r="14" ht="22" customHeight="1">
      <x:c r="A14" s="2" t="str">
        <x:v>S08</x:v>
      </x:c>
      <x:c r="B14" s="9" t="n">
        <x:v>77365.53633018771</x:v>
      </x:c>
      <x:c r="C14" s="9" t="n">
        <x:v>116658.79433341045</x:v>
      </x:c>
      <x:c r="D14" s="9" t="n">
        <x:v>4884.7305738965115</x:v>
      </x:c>
      <x:c r="E14" s="9" t="n">
        <x:v>159657.43161176762</x:v>
      </x:c>
      <x:c r="F14" s="9" t="n">
        <x:v>6384823.657707665</x:v>
      </x:c>
      <x:c r="G14" s="9" t="n">
        <x:v>10999577.088206233</x:v>
      </x:c>
      <x:c r="H14" s="9" t="n">
        <x:v>1015000.0145286132</x:v>
      </x:c>
      <x:c r="I14" s="9" t="n">
        <x:v>4389709.644115482</x:v>
      </x:c>
      <x:c r="J14" s="9" t="n">
        <x:v>6258773.634924912</x:v>
      </x:c>
      <x:c r="K14" s="9" t="n">
        <x:v>65452.30985588001</x:v>
      </x:c>
      <x:c r="L14" s="9" t="n">
        <x:v>723545.8790458408</x:v>
      </x:c>
      <x:c r="M14" s="9" t="n">
        <x:v>672914.0836872702</x:v>
      </x:c>
      <x:c r="N14" s="9" t="n">
        <x:v>2254134.5829966646</x:v>
      </x:c>
      <x:c r="O14" s="9" t="n">
        <x:v>652566.4677540739</x:v>
      </x:c>
      <x:c r="P14" s="9" t="n">
        <x:v>411605.5454031516</x:v>
      </x:c>
      <x:c r="Q14" s="9" t="n">
        <x:v>1064356.2620576287</x:v>
      </x:c>
      <x:c r="R14" s="9" t="n">
        <x:v>342432.34714703535</x:v>
      </x:c>
      <x:c r="S14" s="9" t="n">
        <x:v>1328600.9853276405</x:v>
      </x:c>
      <x:c r="T14" s="9" t="n">
        <x:v>1106526.1327665043</x:v>
      </x:c>
      <x:c r="U14" s="9" t="n">
        <x:v>1001381.8021198213</x:v>
      </x:c>
      <x:c r="V14" s="9" t="n">
        <x:v>352649.6606898452</x:v>
      </x:c>
      <x:c r="W14" s="9" t="n">
        <x:v>948311.6890377732</x:v>
      </x:c>
      <x:c r="X14" s="9" t="n">
        <x:v>285008.5834421828</x:v>
      </x:c>
      <x:c r="Y14" s="9" t="n">
        <x:v>246442.01517140015</x:v>
      </x:c>
      <x:c r="Z14" s="9" t="n">
        <x:v>61841.25221511028</x:v>
      </x:c>
      <x:c r="AA14" s="9" t="n">
        <x:v>219975.44987677233</x:v>
      </x:c>
      <x:c r="AB14" s="9" t="n">
        <x:v>4154812.5357321934</x:v>
      </x:c>
      <x:c r="AC14" s="9" t="n">
        <x:v>313243.9656540207</x:v>
      </x:c>
      <x:c r="AD14" s="9" t="n">
        <x:v>27686776.435596704</x:v>
      </x:c>
      <x:c r="AE14" s="9" t="n">
        <x:v>2382072.564497687</x:v>
      </x:c>
      <x:c r="AF14" s="9" t="n">
        <x:v>612140.0497825933</x:v>
      </x:c>
      <x:c r="AG14" s="9" t="n">
        <x:v>55916.30135470548</x:v>
      </x:c>
      <x:c r="AH14" s="9" t="n">
        <x:v>182773.0416636417</x:v>
      </x:c>
      <x:c r="AI14" s="9" t="n">
        <x:v>255592.5688586029</x:v>
      </x:c>
      <x:c r="AJ14" s="9" t="n">
        <x:v>130851.70134969505</x:v>
      </x:c>
      <x:c r="AK14" s="9" t="n">
        <x:v>1177843.9729721942</x:v>
      </x:c>
      <x:c r="AL14" s="9" t="n">
        <x:v>5748010.69581415</x:v>
      </x:c>
      <x:c r="AM14" s="9" t="n">
        <x:v>432397.58441242855</x:v>
      </x:c>
      <x:c r="AN14" s="9" t="n">
        <x:v>80102.38120161682</x:v>
      </x:c>
      <x:c r="AO14" s="9" t="n">
        <x:v>557206.3053567716</x:v>
      </x:c>
      <x:c r="AP14" s="9" t="n">
        <x:v>1909058.8678326234</x:v>
      </x:c>
      <x:c r="AQ14" s="9" t="n">
        <x:v>103920.89167368617</x:v>
      </x:c>
      <x:c r="AR14" s="9" t="n">
        <x:v>1439523.9028672078</x:v>
      </x:c>
      <x:c r="AS14" s="9" t="n">
        <x:v>313926.2992172912</x:v>
      </x:c>
      <x:c r="AT14" s="9" t="n">
        <x:v>50070.02788251533</x:v>
      </x:c>
      <x:c r="AU14" s="9" t="n">
        <x:v>461821.8266455047</x:v>
      </x:c>
      <x:c r="AV14" s="9" t="n">
        <x:v>348131.6780787179</x:v>
      </x:c>
      <x:c r="AW14" s="9" t="n">
        <x:v>15282.135342026357</x:v>
      </x:c>
      <x:c r="AX14" s="9" t="n">
        <x:v>2665407.939928349</x:v>
      </x:c>
      <x:c r="AY14" s="9" t="n">
        <x:v>872726.9463128496</x:v>
      </x:c>
      <x:c r="AZ14" s="9" t="n">
        <x:v>137949.1152605762</x:v>
      </x:c>
      <x:c r="BA14" s="9" t="n">
        <x:v>83564.27367770008</x:v>
      </x:c>
      <x:c r="BB14" s="9" t="n">
        <x:v>179905.60349561606</x:v>
      </x:c>
      <x:c r="BC14" s="9" t="n">
        <x:v>1025018.0748222778</x:v>
      </x:c>
      <x:c r="BD14" s="9" t="n">
        <x:v>5777865.71167699</x:v>
      </x:c>
      <x:c r="BE14" s="9" t="n">
        <x:v>2406814.2811863585</x:v>
      </x:c>
      <x:c r="BF14" s="9" t="n">
        <x:v>999674.3259963541</x:v>
      </x:c>
      <x:c r="BG14" s="9" t="n">
        <x:v>61769.820064221036</x:v>
      </x:c>
      <x:c r="BH14" s="9" t="n">
        <x:v>256519.34295014845</x:v>
      </x:c>
      <x:c r="BI14" s="9" t="n">
        <x:v>201221.86625122264</x:v>
      </x:c>
      <x:c r="BJ14" s="9" t="n">
        <x:v>134311.29823520768</x:v>
      </x:c>
      <x:c r="BK14" s="9" t="n">
        <x:v>38947.127096193195</x:v>
      </x:c>
      <x:c r="BL14" s="9" t="n">
        <x:v>79263.94338841565</x:v>
      </x:c>
      <x:c r="BM14" s="9" t="n">
        <x:v>0</x:v>
      </x:c>
      <x:c r="BN14" s="9" t="n">
        <x:v>0</x:v>
      </x:c>
      <x:c r="BO14" s="9" t="n">
        <x:v>0</x:v>
      </x:c>
      <x:c r="BP14" s="9" t="n">
        <x:v>0</x:v>
      </x:c>
      <x:c r="BQ14" s="9" t="n">
        <x:v>0</x:v>
      </x:c>
      <x:c r="BR14" s="9" t="n">
        <x:v>0</x:v>
      </x:c>
      <x:c r="BS14" s="9" t="n">
        <x:v>6126489.537086891</x:v>
      </x:c>
      <x:c r="BT14" s="9" t="n">
        <x:v>5452.940642118779</x:v>
      </x:c>
      <x:c r="BU14" s="9" t="n">
        <x:v>7183072.659633117</x:v>
      </x:c>
      <x:c r="BV14" s="9" t="n">
        <x:v>3388742.508303198</x:v>
      </x:c>
      <x:c r="BW14" s="16" t="n">
        <x:f>SUM(B14:BV14)</x:f>
        <x:v>121180388.63072112</x:v>
      </x:c>
    </x:row>
    <x:row r="15" ht="22" customHeight="1">
      <x:c r="A15" s="2" t="str">
        <x:v>S09</x:v>
      </x:c>
      <x:c r="B15" s="9" t="n">
        <x:v>35618896.84051202</x:v>
      </x:c>
      <x:c r="C15" s="9" t="n">
        <x:v>536628.8993627507</x:v>
      </x:c>
      <x:c r="D15" s="9" t="n">
        <x:v>3695003.5384422354</x:v>
      </x:c>
      <x:c r="E15" s="9" t="n">
        <x:v>12613793.354272645</x:v>
      </x:c>
      <x:c r="F15" s="9" t="n">
        <x:v>9488803.718842091</x:v>
      </x:c>
      <x:c r="G15" s="9" t="n">
        <x:v>9061391.661410153</x:v>
      </x:c>
      <x:c r="H15" s="9" t="n">
        <x:v>2005303.2274509943</x:v>
      </x:c>
      <x:c r="I15" s="9" t="n">
        <x:v>2308022.2113019056</x:v>
      </x:c>
      <x:c r="J15" s="9" t="n">
        <x:v>496113.4909575007</x:v>
      </x:c>
      <x:c r="K15" s="9" t="n">
        <x:v>21355099.77568867</x:v>
      </x:c>
      <x:c r="L15" s="9" t="n">
        <x:v>47283541.24495858</x:v>
      </x:c>
      <x:c r="M15" s="9" t="n">
        <x:v>1249328.5838474073</x:v>
      </x:c>
      <x:c r="N15" s="9" t="n">
        <x:v>12431490.572458128</x:v>
      </x:c>
      <x:c r="O15" s="9" t="n">
        <x:v>37453773.20993174</x:v>
      </x:c>
      <x:c r="P15" s="9" t="n">
        <x:v>12024093.67378228</x:v>
      </x:c>
      <x:c r="Q15" s="9" t="n">
        <x:v>3855092.2318716375</x:v>
      </x:c>
      <x:c r="R15" s="9" t="n">
        <x:v>479235.3197523296</x:v>
      </x:c>
      <x:c r="S15" s="9" t="n">
        <x:v>4925013.66103369</x:v>
      </x:c>
      <x:c r="T15" s="9" t="n">
        <x:v>6411239.88092578</x:v>
      </x:c>
      <x:c r="U15" s="9" t="n">
        <x:v>7173765.66323477</x:v>
      </x:c>
      <x:c r="V15" s="9" t="n">
        <x:v>938445.2081075049</x:v>
      </x:c>
      <x:c r="W15" s="9" t="n">
        <x:v>1405027.4933446313</x:v>
      </x:c>
      <x:c r="X15" s="9" t="n">
        <x:v>1753739.4378707095</x:v>
      </x:c>
      <x:c r="Y15" s="9" t="n">
        <x:v>14107617.765037967</x:v>
      </x:c>
      <x:c r="Z15" s="9" t="n">
        <x:v>1456857.235140359</x:v>
      </x:c>
      <x:c r="AA15" s="9" t="n">
        <x:v>2916291.5163797117</x:v>
      </x:c>
      <x:c r="AB15" s="9" t="n">
        <x:v>91539214.63835724</x:v>
      </x:c>
      <x:c r="AC15" s="9" t="n">
        <x:v>10559035.537847692</x:v>
      </x:c>
      <x:c r="AD15" s="9" t="n">
        <x:v>80442676.19941257</x:v>
      </x:c>
      <x:c r="AE15" s="9" t="n">
        <x:v>27785952.526955802</x:v>
      </x:c>
      <x:c r="AF15" s="9" t="n">
        <x:v>238654712.56058097</x:v>
      </x:c>
      <x:c r="AG15" s="9" t="n">
        <x:v>12326269.220792064</x:v>
      </x:c>
      <x:c r="AH15" s="9" t="n">
        <x:v>93938063.0041534</x:v>
      </x:c>
      <x:c r="AI15" s="9" t="n">
        <x:v>35397346.77413987</x:v>
      </x:c>
      <x:c r="AJ15" s="9" t="n">
        <x:v>9354008.917376608</x:v>
      </x:c>
      <x:c r="AK15" s="9" t="n">
        <x:v>6877352.71420763</x:v>
      </x:c>
      <x:c r="AL15" s="9" t="n">
        <x:v>64088.399449773184</x:v>
      </x:c>
      <x:c r="AM15" s="9" t="n">
        <x:v>116239.09944200823</x:v>
      </x:c>
      <x:c r="AN15" s="9" t="n">
        <x:v>321948.13076975173</x:v>
      </x:c>
      <x:c r="AO15" s="9" t="n">
        <x:v>324703.54504553316</x:v>
      </x:c>
      <x:c r="AP15" s="9" t="n">
        <x:v>543011.286939174</x:v>
      </x:c>
      <x:c r="AQ15" s="9" t="n">
        <x:v>321256.19682184106</x:v>
      </x:c>
      <x:c r="AR15" s="9" t="n">
        <x:v>902345.0245018738</x:v>
      </x:c>
      <x:c r="AS15" s="9" t="n">
        <x:v>1642198.2415167708</x:v>
      </x:c>
      <x:c r="AT15" s="9" t="n">
        <x:v>362947.6785140834</x:v>
      </x:c>
      <x:c r="AU15" s="9" t="n">
        <x:v>1605601.3469863664</x:v>
      </x:c>
      <x:c r="AV15" s="9" t="n">
        <x:v>1287166.156462354</x:v>
      </x:c>
      <x:c r="AW15" s="9" t="n">
        <x:v>49294.58005103805</x:v>
      </x:c>
      <x:c r="AX15" s="9" t="n">
        <x:v>228004.53507647236</x:v>
      </x:c>
      <x:c r="AY15" s="9" t="n">
        <x:v>149163.07334669173</x:v>
      </x:c>
      <x:c r="AZ15" s="9" t="n">
        <x:v>1577497.225418446</x:v>
      </x:c>
      <x:c r="BA15" s="9" t="n">
        <x:v>288169.20012739795</x:v>
      </x:c>
      <x:c r="BB15" s="9" t="n">
        <x:v>12418286.750881486</x:v>
      </x:c>
      <x:c r="BC15" s="9" t="n">
        <x:v>8347002.406223246</x:v>
      </x:c>
      <x:c r="BD15" s="9" t="n">
        <x:v>64868560.40094924</x:v>
      </x:c>
      <x:c r="BE15" s="9" t="n">
        <x:v>8834972.043147415</x:v>
      </x:c>
      <x:c r="BF15" s="9" t="n">
        <x:v>3581095.5806659004</x:v>
      </x:c>
      <x:c r="BG15" s="9" t="n">
        <x:v>1802850.2806212169</x:v>
      </x:c>
      <x:c r="BH15" s="9" t="n">
        <x:v>2135983.0450400305</x:v>
      </x:c>
      <x:c r="BI15" s="9" t="n">
        <x:v>525315.964305633</x:v>
      </x:c>
      <x:c r="BJ15" s="9" t="n">
        <x:v>2290431.425191263</x:v>
      </x:c>
      <x:c r="BK15" s="9" t="n">
        <x:v>141233.59550317872</x:v>
      </x:c>
      <x:c r="BL15" s="9" t="n">
        <x:v>545276.8523746191</x:v>
      </x:c>
      <x:c r="BM15" s="9" t="n">
        <x:v>0</x:v>
      </x:c>
      <x:c r="BN15" s="9" t="n">
        <x:v>0</x:v>
      </x:c>
      <x:c r="BO15" s="9" t="n">
        <x:v>0</x:v>
      </x:c>
      <x:c r="BP15" s="9" t="n">
        <x:v>0</x:v>
      </x:c>
      <x:c r="BQ15" s="9" t="n">
        <x:v>0</x:v>
      </x:c>
      <x:c r="BR15" s="9" t="n">
        <x:v>0</x:v>
      </x:c>
      <x:c r="BS15" s="9" t="n">
        <x:v>148584552.50823924</x:v>
      </x:c>
      <x:c r="BT15" s="9" t="n">
        <x:v>12147.854336671013</x:v>
      </x:c>
      <x:c r="BU15" s="9" t="n">
        <x:v>76729251.08611606</x:v>
      </x:c>
      <x:c r="BV15" s="9" t="n">
        <x:v>280501877.4166595</x:v>
      </x:c>
      <x:c r="BW15" s="16" t="n">
        <x:f>SUM(B15:BV15)</x:f>
        <x:v>1481020712.4404664</x:v>
      </x:c>
    </x:row>
    <x:row r="16" ht="22" customHeight="1">
      <x:c r="A16" s="2" t="str">
        <x:v>S10</x:v>
      </x:c>
      <x:c r="B16" s="9" t="n">
        <x:v>111548851.48392601</x:v>
      </x:c>
      <x:c r="C16" s="9" t="n">
        <x:v>312185.8512560415</x:v>
      </x:c>
      <x:c r="D16" s="9" t="n">
        <x:v>270706.03737497027</x:v>
      </x:c>
      <x:c r="E16" s="9" t="n">
        <x:v>9255583.250211643</x:v>
      </x:c>
      <x:c r="F16" s="9" t="n">
        <x:v>44203988.53995851</x:v>
      </x:c>
      <x:c r="G16" s="9" t="n">
        <x:v>116095618.35959041</x:v>
      </x:c>
      <x:c r="H16" s="9" t="n">
        <x:v>16143151.48760164</x:v>
      </x:c>
      <x:c r="I16" s="9" t="n">
        <x:v>24090676.0858248</x:v>
      </x:c>
      <x:c r="J16" s="9" t="n">
        <x:v>5334726.302427951</x:v>
      </x:c>
      <x:c r="K16" s="9" t="n">
        <x:v>22051755.36242555</x:v>
      </x:c>
      <x:c r="L16" s="9" t="n">
        <x:v>302400550.9278647</x:v>
      </x:c>
      <x:c r="M16" s="9" t="n">
        <x:v>19089823.929385304</x:v>
      </x:c>
      <x:c r="N16" s="9" t="n">
        <x:v>152854255.14949232</x:v>
      </x:c>
      <x:c r="O16" s="9" t="n">
        <x:v>26623068.18370902</x:v>
      </x:c>
      <x:c r="P16" s="9" t="n">
        <x:v>22805363.557305012</x:v>
      </x:c>
      <x:c r="Q16" s="9" t="n">
        <x:v>20014403.273020197</x:v>
      </x:c>
      <x:c r="R16" s="9" t="n">
        <x:v>5780986.309818318</x:v>
      </x:c>
      <x:c r="S16" s="9" t="n">
        <x:v>32345166.983262453</x:v>
      </x:c>
      <x:c r="T16" s="9" t="n">
        <x:v>14880579.229857102</x:v>
      </x:c>
      <x:c r="U16" s="9" t="n">
        <x:v>21707544.991723552</x:v>
      </x:c>
      <x:c r="V16" s="9" t="n">
        <x:v>3434038.14555843</x:v>
      </x:c>
      <x:c r="W16" s="9" t="n">
        <x:v>9279394.149183972</x:v>
      </x:c>
      <x:c r="X16" s="9" t="n">
        <x:v>2489014.2067278684</x:v>
      </x:c>
      <x:c r="Y16" s="9" t="n">
        <x:v>16105116.192012057</x:v>
      </x:c>
      <x:c r="Z16" s="9" t="n">
        <x:v>1223818.7164714371</x:v>
      </x:c>
      <x:c r="AA16" s="9" t="n">
        <x:v>7332436.55547935</x:v>
      </x:c>
      <x:c r="AB16" s="9" t="n">
        <x:v>42700310.631784305</x:v>
      </x:c>
      <x:c r="AC16" s="9" t="n">
        <x:v>4210661.319759473</x:v>
      </x:c>
      <x:c r="AD16" s="9" t="n">
        <x:v>14372768.762799378</x:v>
      </x:c>
      <x:c r="AE16" s="9" t="n">
        <x:v>17022216.164429333</x:v>
      </x:c>
      <x:c r="AF16" s="9" t="n">
        <x:v>13252885.483398056</x:v>
      </x:c>
      <x:c r="AG16" s="9" t="n">
        <x:v>1045715.492222448</x:v>
      </x:c>
      <x:c r="AH16" s="9" t="n">
        <x:v>978616.9059821012</x:v>
      </x:c>
      <x:c r="AI16" s="9" t="n">
        <x:v>5575531.830262937</x:v>
      </x:c>
      <x:c r="AJ16" s="9" t="n">
        <x:v>1091520.8742706128</x:v>
      </x:c>
      <x:c r="AK16" s="9" t="n">
        <x:v>8333979.119433927</x:v>
      </x:c>
      <x:c r="AL16" s="9" t="n">
        <x:v>310839.36684356246</x:v>
      </x:c>
      <x:c r="AM16" s="9" t="n">
        <x:v>117723.53689829772</x:v>
      </x:c>
      <x:c r="AN16" s="9" t="n">
        <x:v>190416.03674652646</x:v>
      </x:c>
      <x:c r="AO16" s="9" t="n">
        <x:v>489534.71123924654</x:v>
      </x:c>
      <x:c r="AP16" s="9" t="n">
        <x:v>476989.44362707174</x:v>
      </x:c>
      <x:c r="AQ16" s="9" t="n">
        <x:v>11217.303721436176</x:v>
      </x:c>
      <x:c r="AR16" s="9" t="n">
        <x:v>474017.69911269826</x:v>
      </x:c>
      <x:c r="AS16" s="9" t="n">
        <x:v>3376019.1387353917</x:v>
      </x:c>
      <x:c r="AT16" s="9" t="n">
        <x:v>8535411.201477509</x:v>
      </x:c>
      <x:c r="AU16" s="9" t="n">
        <x:v>2273227.2768296306</x:v>
      </x:c>
      <x:c r="AV16" s="9" t="n">
        <x:v>2432118.918812488</x:v>
      </x:c>
      <x:c r="AW16" s="9" t="n">
        <x:v>492693.3811144588</x:v>
      </x:c>
      <x:c r="AX16" s="9" t="n">
        <x:v>813537.1172529781</x:v>
      </x:c>
      <x:c r="AY16" s="9" t="n">
        <x:v>690336.8798530604</x:v>
      </x:c>
      <x:c r="AZ16" s="9" t="n">
        <x:v>883212.6442120739</x:v>
      </x:c>
      <x:c r="BA16" s="9" t="n">
        <x:v>228298.44946682063</x:v>
      </x:c>
      <x:c r="BB16" s="9" t="n">
        <x:v>523775.00429970026</x:v>
      </x:c>
      <x:c r="BC16" s="9" t="n">
        <x:v>3161407.6457915776</x:v>
      </x:c>
      <x:c r="BD16" s="9" t="n">
        <x:v>5958379.021958411</x:v>
      </x:c>
      <x:c r="BE16" s="9" t="n">
        <x:v>1407508.4857476386</x:v>
      </x:c>
      <x:c r="BF16" s="9" t="n">
        <x:v>5747711.700533894</x:v>
      </x:c>
      <x:c r="BG16" s="9" t="n">
        <x:v>529796.7017959526</x:v>
      </x:c>
      <x:c r="BH16" s="9" t="n">
        <x:v>270316.10118638317</x:v>
      </x:c>
      <x:c r="BI16" s="9" t="n">
        <x:v>650893.193907322</x:v>
      </x:c>
      <x:c r="BJ16" s="9" t="n">
        <x:v>316347.5929786322</x:v>
      </x:c>
      <x:c r="BK16" s="9" t="n">
        <x:v>130012.92282821292</x:v>
      </x:c>
      <x:c r="BL16" s="9" t="n">
        <x:v>2153650.312132115</x:v>
      </x:c>
      <x:c r="BM16" s="9" t="n">
        <x:v>0</x:v>
      </x:c>
      <x:c r="BN16" s="9" t="n">
        <x:v>0</x:v>
      </x:c>
      <x:c r="BO16" s="9" t="n">
        <x:v>0</x:v>
      </x:c>
      <x:c r="BP16" s="9" t="n">
        <x:v>0</x:v>
      </x:c>
      <x:c r="BQ16" s="9" t="n">
        <x:v>0</x:v>
      </x:c>
      <x:c r="BR16" s="9" t="n">
        <x:v>0</x:v>
      </x:c>
      <x:c r="BS16" s="9" t="n">
        <x:v>141251548.4532259</x:v>
      </x:c>
      <x:c r="BT16" s="9" t="n">
        <x:v>722502.6611638616</x:v>
      </x:c>
      <x:c r="BU16" s="9" t="n">
        <x:v>43858364.841039255</x:v>
      </x:c>
      <x:c r="BV16" s="9" t="n">
        <x:v>295697422.4437013</x:v>
      </x:c>
      <x:c r="BW16" s="16" t="n">
        <x:f>SUM(B16:BV16)</x:f>
        <x:v>1640432240.034044</x:v>
      </x:c>
    </x:row>
    <x:row r="17" ht="22" customHeight="1">
      <x:c r="A17" s="2" t="str">
        <x:v>S11</x:v>
      </x:c>
      <x:c r="B17" s="9" t="n">
        <x:v>2271583.5336238677</x:v>
      </x:c>
      <x:c r="C17" s="9" t="n">
        <x:v>5404.08251708392</x:v>
      </x:c>
      <x:c r="D17" s="9" t="n">
        <x:v>13764.227791551672</x:v>
      </x:c>
      <x:c r="E17" s="9" t="n">
        <x:v>172000.68746252515</x:v>
      </x:c>
      <x:c r="F17" s="9" t="n">
        <x:v>5980652.090809196</x:v>
      </x:c>
      <x:c r="G17" s="9" t="n">
        <x:v>1522063.0970873646</x:v>
      </x:c>
      <x:c r="H17" s="9" t="n">
        <x:v>175333.41777789584</x:v>
      </x:c>
      <x:c r="I17" s="9" t="n">
        <x:v>931822.6293132282</x:v>
      </x:c>
      <x:c r="J17" s="9" t="n">
        <x:v>182318.3354564863</x:v>
      </x:c>
      <x:c r="K17" s="9" t="n">
        <x:v>164875.81482029316</x:v>
      </x:c>
      <x:c r="L17" s="9" t="n">
        <x:v>5408175.273060621</x:v>
      </x:c>
      <x:c r="M17" s="9" t="n">
        <x:v>21216932.14309817</x:v>
      </x:c>
      <x:c r="N17" s="9" t="n">
        <x:v>1410221.2746681278</x:v>
      </x:c>
      <x:c r="O17" s="9" t="n">
        <x:v>458496.78290242114</x:v>
      </x:c>
      <x:c r="P17" s="9" t="n">
        <x:v>318182.0529071782</x:v>
      </x:c>
      <x:c r="Q17" s="9" t="n">
        <x:v>388191.51760276756</x:v>
      </x:c>
      <x:c r="R17" s="9" t="n">
        <x:v>227656.71376618397</x:v>
      </x:c>
      <x:c r="S17" s="9" t="n">
        <x:v>437864.95374907076</x:v>
      </x:c>
      <x:c r="T17" s="9" t="n">
        <x:v>608918.9977744548</x:v>
      </x:c>
      <x:c r="U17" s="9" t="n">
        <x:v>694539.9768292296</x:v>
      </x:c>
      <x:c r="V17" s="9" t="n">
        <x:v>241045.84215184645</x:v>
      </x:c>
      <x:c r="W17" s="9" t="n">
        <x:v>1345526.1388468319</x:v>
      </x:c>
      <x:c r="X17" s="9" t="n">
        <x:v>320721.99881888705</x:v>
      </x:c>
      <x:c r="Y17" s="9" t="n">
        <x:v>222479.41459301102</x:v>
      </x:c>
      <x:c r="Z17" s="9" t="n">
        <x:v>84453.93255684168</x:v>
      </x:c>
      <x:c r="AA17" s="9" t="n">
        <x:v>140060.76490398598</x:v>
      </x:c>
      <x:c r="AB17" s="9" t="n">
        <x:v>2527107.1487394595</x:v>
      </x:c>
      <x:c r="AC17" s="9" t="n">
        <x:v>383605.4774882181</x:v>
      </x:c>
      <x:c r="AD17" s="9" t="n">
        <x:v>1542514.2277316207</x:v>
      </x:c>
      <x:c r="AE17" s="9" t="n">
        <x:v>607522.4685348031</x:v>
      </x:c>
      <x:c r="AF17" s="9" t="n">
        <x:v>2916573.5885571856</x:v>
      </x:c>
      <x:c r="AG17" s="9" t="n">
        <x:v>171514.5711742987</x:v>
      </x:c>
      <x:c r="AH17" s="9" t="n">
        <x:v>135382.61900955098</x:v>
      </x:c>
      <x:c r="AI17" s="9" t="n">
        <x:v>617466.7898084751</x:v>
      </x:c>
      <x:c r="AJ17" s="9" t="n">
        <x:v>422652.8336608865</x:v>
      </x:c>
      <x:c r="AK17" s="9" t="n">
        <x:v>717537.881738437</x:v>
      </x:c>
      <x:c r="AL17" s="9" t="n">
        <x:v>42557.72304554529</x:v>
      </x:c>
      <x:c r="AM17" s="9" t="n">
        <x:v>29628.86733910808</x:v>
      </x:c>
      <x:c r="AN17" s="9" t="n">
        <x:v>36660.98123318364</x:v>
      </x:c>
      <x:c r="AO17" s="9" t="n">
        <x:v>235038.46318563446</x:v>
      </x:c>
      <x:c r="AP17" s="9" t="n">
        <x:v>105578.88965238901</x:v>
      </x:c>
      <x:c r="AQ17" s="9" t="n">
        <x:v>3007.4747972919686</x:v>
      </x:c>
      <x:c r="AR17" s="9" t="n">
        <x:v>21833.79883490016</x:v>
      </x:c>
      <x:c r="AS17" s="9" t="n">
        <x:v>437924.5455577902</x:v>
      </x:c>
      <x:c r="AT17" s="9" t="n">
        <x:v>56996.58799060093</x:v>
      </x:c>
      <x:c r="AU17" s="9" t="n">
        <x:v>573911.7108661047</x:v>
      </x:c>
      <x:c r="AV17" s="9" t="n">
        <x:v>563226.0982721345</x:v>
      </x:c>
      <x:c r="AW17" s="9" t="n">
        <x:v>232911.6479570424</x:v>
      </x:c>
      <x:c r="AX17" s="9" t="n">
        <x:v>257359.92379517766</x:v>
      </x:c>
      <x:c r="AY17" s="9" t="n">
        <x:v>2370831.0115447836</x:v>
      </x:c>
      <x:c r="AZ17" s="9" t="n">
        <x:v>152830.23019447978</x:v>
      </x:c>
      <x:c r="BA17" s="9" t="n">
        <x:v>53609.68516566188</x:v>
      </x:c>
      <x:c r="BB17" s="9" t="n">
        <x:v>105454.52918607893</x:v>
      </x:c>
      <x:c r="BC17" s="9" t="n">
        <x:v>371760.1345534255</x:v>
      </x:c>
      <x:c r="BD17" s="9" t="n">
        <x:v>452364.4944263836</x:v>
      </x:c>
      <x:c r="BE17" s="9" t="n">
        <x:v>1277060.864114854</x:v>
      </x:c>
      <x:c r="BF17" s="9" t="n">
        <x:v>34109854.4459698</x:v>
      </x:c>
      <x:c r="BG17" s="9" t="n">
        <x:v>93320.08146730924</x:v>
      </x:c>
      <x:c r="BH17" s="9" t="n">
        <x:v>129082.28075367937</x:v>
      </x:c>
      <x:c r="BI17" s="9" t="n">
        <x:v>592475.7841968139</x:v>
      </x:c>
      <x:c r="BJ17" s="9" t="n">
        <x:v>1836572.8861909504</x:v>
      </x:c>
      <x:c r="BK17" s="9" t="n">
        <x:v>41290.715094620595</x:v>
      </x:c>
      <x:c r="BL17" s="9" t="n">
        <x:v>636264.3709389608</x:v>
      </x:c>
      <x:c r="BM17" s="9" t="n">
        <x:v>0</x:v>
      </x:c>
      <x:c r="BN17" s="9" t="n">
        <x:v>0</x:v>
      </x:c>
      <x:c r="BO17" s="9" t="n">
        <x:v>0</x:v>
      </x:c>
      <x:c r="BP17" s="9" t="n">
        <x:v>0</x:v>
      </x:c>
      <x:c r="BQ17" s="9" t="n">
        <x:v>0</x:v>
      </x:c>
      <x:c r="BR17" s="9" t="n">
        <x:v>0</x:v>
      </x:c>
      <x:c r="BS17" s="9" t="n">
        <x:v>71312495.45418951</x:v>
      </x:c>
      <x:c r="BT17" s="9" t="n">
        <x:v>112252648.13771026</x:v>
      </x:c>
      <x:c r="BU17" s="9" t="n">
        <x:v>-5231193.413699647</x:v>
      </x:c>
      <x:c r="BV17" s="9" t="n">
        <x:v>29230557.870301653</x:v>
      </x:c>
      <x:c r="BW17" s="16" t="n">
        <x:f>SUM(B17:BV17)</x:f>
        <x:v>307369079.5761585</x:v>
      </x:c>
    </x:row>
    <x:row r="18" ht="22" customHeight="1">
      <x:c r="A18" s="2" t="str">
        <x:v>S12</x:v>
      </x:c>
      <x:c r="B18" s="9" t="n">
        <x:v>6841409.660624638</x:v>
      </x:c>
      <x:c r="C18" s="9" t="n">
        <x:v>225209.91336952397</x:v>
      </x:c>
      <x:c r="D18" s="9" t="n">
        <x:v>128867.89248721903</x:v>
      </x:c>
      <x:c r="E18" s="9" t="n">
        <x:v>4627575.53148418</x:v>
      </x:c>
      <x:c r="F18" s="9" t="n">
        <x:v>26215558.466097657</x:v>
      </x:c>
      <x:c r="G18" s="9" t="n">
        <x:v>27682541.871544197</x:v>
      </x:c>
      <x:c r="H18" s="9" t="n">
        <x:v>6381299.338355955</x:v>
      </x:c>
      <x:c r="I18" s="9" t="n">
        <x:v>13225623.776681473</x:v>
      </x:c>
      <x:c r="J18" s="9" t="n">
        <x:v>7013324.520327708</x:v>
      </x:c>
      <x:c r="K18" s="9" t="n">
        <x:v>823506.6349002223</x:v>
      </x:c>
      <x:c r="L18" s="9" t="n">
        <x:v>11434588.847812507</x:v>
      </x:c>
      <x:c r="M18" s="9" t="n">
        <x:v>4442294.253609709</x:v>
      </x:c>
      <x:c r="N18" s="9" t="n">
        <x:v>78595506.89407176</x:v>
      </x:c>
      <x:c r="O18" s="9" t="n">
        <x:v>18011667.27486338</x:v>
      </x:c>
      <x:c r="P18" s="9" t="n">
        <x:v>9380927.839974713</x:v>
      </x:c>
      <x:c r="Q18" s="9" t="n">
        <x:v>21926042.79957656</x:v>
      </x:c>
      <x:c r="R18" s="9" t="n">
        <x:v>6448738.275821958</x:v>
      </x:c>
      <x:c r="S18" s="9" t="n">
        <x:v>24862279.826629292</x:v>
      </x:c>
      <x:c r="T18" s="9" t="n">
        <x:v>23712092.783734668</x:v>
      </x:c>
      <x:c r="U18" s="9" t="n">
        <x:v>83268719.39164114</x:v>
      </x:c>
      <x:c r="V18" s="9" t="n">
        <x:v>5926589.8892885335</x:v>
      </x:c>
      <x:c r="W18" s="9" t="n">
        <x:v>18334264.57246443</x:v>
      </x:c>
      <x:c r="X18" s="9" t="n">
        <x:v>6300768.413054349</x:v>
      </x:c>
      <x:c r="Y18" s="9" t="n">
        <x:v>3658402.328794374</x:v>
      </x:c>
      <x:c r="Z18" s="9" t="n">
        <x:v>1864628.6199979521</x:v>
      </x:c>
      <x:c r="AA18" s="9" t="n">
        <x:v>2177779.3749765004</x:v>
      </x:c>
      <x:c r="AB18" s="9" t="n">
        <x:v>103327771.49565695</x:v>
      </x:c>
      <x:c r="AC18" s="9" t="n">
        <x:v>27020226.66392724</x:v>
      </x:c>
      <x:c r="AD18" s="9" t="n">
        <x:v>14467263.860455574</x:v>
      </x:c>
      <x:c r="AE18" s="9" t="n">
        <x:v>10733065.451423109</x:v>
      </x:c>
      <x:c r="AF18" s="9" t="n">
        <x:v>14511472.208795916</x:v>
      </x:c>
      <x:c r="AG18" s="9" t="n">
        <x:v>630990.2067475196</x:v>
      </x:c>
      <x:c r="AH18" s="9" t="n">
        <x:v>639193.9319080416</x:v>
      </x:c>
      <x:c r="AI18" s="9" t="n">
        <x:v>2461159.880489102</x:v>
      </x:c>
      <x:c r="AJ18" s="9" t="n">
        <x:v>903646.3413498988</x:v>
      </x:c>
      <x:c r="AK18" s="9" t="n">
        <x:v>6818976.660503893</x:v>
      </x:c>
      <x:c r="AL18" s="9" t="n">
        <x:v>799356.7103526818</x:v>
      </x:c>
      <x:c r="AM18" s="9" t="n">
        <x:v>143606.5315925149</x:v>
      </x:c>
      <x:c r="AN18" s="9" t="n">
        <x:v>277202.9349562863</x:v>
      </x:c>
      <x:c r="AO18" s="9" t="n">
        <x:v>755326.9301526241</x:v>
      </x:c>
      <x:c r="AP18" s="9" t="n">
        <x:v>248616.7975908902</x:v>
      </x:c>
      <x:c r="AQ18" s="9" t="n">
        <x:v>8986.95267197702</x:v>
      </x:c>
      <x:c r="AR18" s="9" t="n">
        <x:v>194133.70197952134</x:v>
      </x:c>
      <x:c r="AS18" s="9" t="n">
        <x:v>2163882.7625814243</x:v>
      </x:c>
      <x:c r="AT18" s="9" t="n">
        <x:v>4140888.2086768476</x:v>
      </x:c>
      <x:c r="AU18" s="9" t="n">
        <x:v>1297360.4473032104</x:v>
      </x:c>
      <x:c r="AV18" s="9" t="n">
        <x:v>3977747.629826855</x:v>
      </x:c>
      <x:c r="AW18" s="9" t="n">
        <x:v>154083.53441820122</x:v>
      </x:c>
      <x:c r="AX18" s="9" t="n">
        <x:v>1641903.2879105564</x:v>
      </x:c>
      <x:c r="AY18" s="9" t="n">
        <x:v>994123.827852245</x:v>
      </x:c>
      <x:c r="AZ18" s="9" t="n">
        <x:v>1702528.1035353574</x:v>
      </x:c>
      <x:c r="BA18" s="9" t="n">
        <x:v>154732.18006573795</x:v>
      </x:c>
      <x:c r="BB18" s="9" t="n">
        <x:v>658751.7415508338</x:v>
      </x:c>
      <x:c r="BC18" s="9" t="n">
        <x:v>1744382.9599900995</x:v>
      </x:c>
      <x:c r="BD18" s="9" t="n">
        <x:v>2440387.694518226</x:v>
      </x:c>
      <x:c r="BE18" s="9" t="n">
        <x:v>698647.7185954003</x:v>
      </x:c>
      <x:c r="BF18" s="9" t="n">
        <x:v>2341530.7775662136</x:v>
      </x:c>
      <x:c r="BG18" s="9" t="n">
        <x:v>245038.93124324313</x:v>
      </x:c>
      <x:c r="BH18" s="9" t="n">
        <x:v>238808.46482309245</x:v>
      </x:c>
      <x:c r="BI18" s="9" t="n">
        <x:v>303151.04734496406</x:v>
      </x:c>
      <x:c r="BJ18" s="9" t="n">
        <x:v>144712.94600771362</x:v>
      </x:c>
      <x:c r="BK18" s="9" t="n">
        <x:v>384950.98965880193</x:v>
      </x:c>
      <x:c r="BL18" s="9" t="n">
        <x:v>595942.773509074</x:v>
      </x:c>
      <x:c r="BM18" s="9" t="n">
        <x:v>0</x:v>
      </x:c>
      <x:c r="BN18" s="9" t="n">
        <x:v>0</x:v>
      </x:c>
      <x:c r="BO18" s="9" t="n">
        <x:v>0</x:v>
      </x:c>
      <x:c r="BP18" s="9" t="n">
        <x:v>0</x:v>
      </x:c>
      <x:c r="BQ18" s="9" t="n">
        <x:v>0</x:v>
      </x:c>
      <x:c r="BR18" s="9" t="n">
        <x:v>0</x:v>
      </x:c>
      <x:c r="BS18" s="9" t="n">
        <x:v>93712304.47457129</x:v>
      </x:c>
      <x:c r="BT18" s="9" t="n">
        <x:v>234742.1829628048</x:v>
      </x:c>
      <x:c r="BU18" s="9" t="n">
        <x:v>89595771.08104847</x:v>
      </x:c>
      <x:c r="BV18" s="9" t="n">
        <x:v>213117680.48768896</x:v>
      </x:c>
      <x:c r="BW18" s="16" t="n">
        <x:f>SUM(B18:BV18)</x:f>
        <x:v>1020135260.5059881</x:v>
      </x:c>
    </x:row>
    <x:row r="19" ht="22" customHeight="1">
      <x:c r="A19" s="2" t="str">
        <x:v>S13</x:v>
      </x:c>
      <x:c r="B19" s="9" t="n">
        <x:v>5289959.414906686</x:v>
      </x:c>
      <x:c r="C19" s="9" t="n">
        <x:v>496332.9117112834</x:v>
      </x:c>
      <x:c r="D19" s="9" t="n">
        <x:v>19624.68947633913</x:v>
      </x:c>
      <x:c r="E19" s="9" t="n">
        <x:v>12870529.101952063</x:v>
      </x:c>
      <x:c r="F19" s="9" t="n">
        <x:v>13336046.844065532</x:v>
      </x:c>
      <x:c r="G19" s="9" t="n">
        <x:v>13004028.51298096</x:v>
      </x:c>
      <x:c r="H19" s="9" t="n">
        <x:v>5616491.494366233</x:v>
      </x:c>
      <x:c r="I19" s="9" t="n">
        <x:v>2953399.35068165</x:v>
      </x:c>
      <x:c r="J19" s="9" t="n">
        <x:v>1287384.5099689963</x:v>
      </x:c>
      <x:c r="K19" s="9" t="n">
        <x:v>14134836.243767995</x:v>
      </x:c>
      <x:c r="L19" s="9" t="n">
        <x:v>14746702.910517426</x:v>
      </x:c>
      <x:c r="M19" s="9" t="n">
        <x:v>2176404.757882065</x:v>
      </x:c>
      <x:c r="N19" s="9" t="n">
        <x:v>16726797.79494842</x:v>
      </x:c>
      <x:c r="O19" s="9" t="n">
        <x:v>107611151.60174444</x:v>
      </x:c>
      <x:c r="P19" s="9" t="n">
        <x:v>17038473.476782627</x:v>
      </x:c>
      <x:c r="Q19" s="9" t="n">
        <x:v>16699797.032754406</x:v>
      </x:c>
      <x:c r="R19" s="9" t="n">
        <x:v>4613149.115248721</x:v>
      </x:c>
      <x:c r="S19" s="9" t="n">
        <x:v>10890630.055009468</x:v>
      </x:c>
      <x:c r="T19" s="9" t="n">
        <x:v>13941637.257796725</x:v>
      </x:c>
      <x:c r="U19" s="9" t="n">
        <x:v>18155341.30158932</x:v>
      </x:c>
      <x:c r="V19" s="9" t="n">
        <x:v>3913133.679361037</x:v>
      </x:c>
      <x:c r="W19" s="9" t="n">
        <x:v>12833560.113884343</x:v>
      </x:c>
      <x:c r="X19" s="9" t="n">
        <x:v>3630992.763709594</x:v>
      </x:c>
      <x:c r="Y19" s="9" t="n">
        <x:v>22880790.920535013</x:v>
      </x:c>
      <x:c r="Z19" s="9" t="n">
        <x:v>2013721.6697754513</x:v>
      </x:c>
      <x:c r="AA19" s="9" t="n">
        <x:v>1950387.7236201274</x:v>
      </x:c>
      <x:c r="AB19" s="9" t="n">
        <x:v>350579808.6018465</x:v>
      </x:c>
      <x:c r="AC19" s="9" t="n">
        <x:v>8607228.245336527</x:v>
      </x:c>
      <x:c r="AD19" s="9" t="n">
        <x:v>10434751.04525412</x:v>
      </x:c>
      <x:c r="AE19" s="9" t="n">
        <x:v>14241490.15729869</x:v>
      </x:c>
      <x:c r="AF19" s="9" t="n">
        <x:v>4119200.3745356845</x:v>
      </x:c>
      <x:c r="AG19" s="9" t="n">
        <x:v>195608.86985140585</x:v>
      </x:c>
      <x:c r="AH19" s="9" t="n">
        <x:v>371896.5516980747</x:v>
      </x:c>
      <x:c r="AI19" s="9" t="n">
        <x:v>4286001.954837579</x:v>
      </x:c>
      <x:c r="AJ19" s="9" t="n">
        <x:v>609459.7896285334</x:v>
      </x:c>
      <x:c r="AK19" s="9" t="n">
        <x:v>8405510.19512236</x:v>
      </x:c>
      <x:c r="AL19" s="9" t="n">
        <x:v>117096.07822199585</x:v>
      </x:c>
      <x:c r="AM19" s="9" t="n">
        <x:v>170880.40614864483</x:v>
      </x:c>
      <x:c r="AN19" s="9" t="n">
        <x:v>193920.76654817807</x:v>
      </x:c>
      <x:c r="AO19" s="9" t="n">
        <x:v>855514.127516202</x:v>
      </x:c>
      <x:c r="AP19" s="9" t="n">
        <x:v>89223.58325166756</x:v>
      </x:c>
      <x:c r="AQ19" s="9" t="n">
        <x:v>1657.616943172346</x:v>
      </x:c>
      <x:c r="AR19" s="9" t="n">
        <x:v>31275.155310524035</x:v>
      </x:c>
      <x:c r="AS19" s="9" t="n">
        <x:v>6699336.802476998</x:v>
      </x:c>
      <x:c r="AT19" s="9" t="n">
        <x:v>20146107.956157178</x:v>
      </x:c>
      <x:c r="AU19" s="9" t="n">
        <x:v>1362612.7740963441</x:v>
      </x:c>
      <x:c r="AV19" s="9" t="n">
        <x:v>8505676.288196635</x:v>
      </x:c>
      <x:c r="AW19" s="9" t="n">
        <x:v>102365.1402566137</x:v>
      </x:c>
      <x:c r="AX19" s="9" t="n">
        <x:v>775458.146180212</x:v>
      </x:c>
      <x:c r="AY19" s="9" t="n">
        <x:v>1074542.7818116865</x:v>
      </x:c>
      <x:c r="AZ19" s="9" t="n">
        <x:v>1711323.5175167732</x:v>
      </x:c>
      <x:c r="BA19" s="9" t="n">
        <x:v>186703.6169133284</x:v>
      </x:c>
      <x:c r="BB19" s="9" t="n">
        <x:v>2014035.801364729</x:v>
      </x:c>
      <x:c r="BC19" s="9" t="n">
        <x:v>2288599.4479881166</x:v>
      </x:c>
      <x:c r="BD19" s="9" t="n">
        <x:v>6679141.588081055</x:v>
      </x:c>
      <x:c r="BE19" s="9" t="n">
        <x:v>493261.0362491271</x:v>
      </x:c>
      <x:c r="BF19" s="9" t="n">
        <x:v>6547590.76243575</x:v>
      </x:c>
      <x:c r="BG19" s="9" t="n">
        <x:v>248834.36307098714</x:v>
      </x:c>
      <x:c r="BH19" s="9" t="n">
        <x:v>181351.9460196937</x:v>
      </x:c>
      <x:c r="BI19" s="9" t="n">
        <x:v>443871.44077619584</x:v>
      </x:c>
      <x:c r="BJ19" s="9" t="n">
        <x:v>91853.72705258169</x:v>
      </x:c>
      <x:c r="BK19" s="9" t="n">
        <x:v>265646.3273367457</x:v>
      </x:c>
      <x:c r="BL19" s="9" t="n">
        <x:v>747032.5586306733</x:v>
      </x:c>
      <x:c r="BM19" s="9" t="n">
        <x:v>0</x:v>
      </x:c>
      <x:c r="BN19" s="9" t="n">
        <x:v>0</x:v>
      </x:c>
      <x:c r="BO19" s="9" t="n">
        <x:v>0</x:v>
      </x:c>
      <x:c r="BP19" s="9" t="n">
        <x:v>0</x:v>
      </x:c>
      <x:c r="BQ19" s="9" t="n">
        <x:v>0</x:v>
      </x:c>
      <x:c r="BR19" s="9" t="n">
        <x:v>0</x:v>
      </x:c>
      <x:c r="BS19" s="9" t="n">
        <x:v>58019565.857528694</x:v>
      </x:c>
      <x:c r="BT19" s="9" t="n">
        <x:v>283196.3595628725</x:v>
      </x:c>
      <x:c r="BU19" s="9" t="n">
        <x:v>56313879.63121033</x:v>
      </x:c>
      <x:c r="BV19" s="9" t="n">
        <x:v>145264851.8883411</x:v>
      </x:c>
      <x:c r="BW19" s="16" t="n">
        <x:f>SUM(B19:BV19)</x:f>
        <x:v>1062588668.5276412</x:v>
      </x:c>
    </x:row>
    <x:row r="20" ht="22" customHeight="1">
      <x:c r="A20" s="2" t="str">
        <x:v>S14</x:v>
      </x:c>
      <x:c r="B20" s="9" t="n">
        <x:v>2577924.1618361617</x:v>
      </x:c>
      <x:c r="C20" s="9" t="n">
        <x:v>63322.726904323084</x:v>
      </x:c>
      <x:c r="D20" s="9" t="n">
        <x:v>56695.094030152344</x:v>
      </x:c>
      <x:c r="E20" s="9" t="n">
        <x:v>13769610.52941756</x:v>
      </x:c>
      <x:c r="F20" s="9" t="n">
        <x:v>6851308.34748864</x:v>
      </x:c>
      <x:c r="G20" s="9" t="n">
        <x:v>9935437.37425404</x:v>
      </x:c>
      <x:c r="H20" s="9" t="n">
        <x:v>7481872.234387874</x:v>
      </x:c>
      <x:c r="I20" s="9" t="n">
        <x:v>3063909.245793135</x:v>
      </x:c>
      <x:c r="J20" s="9" t="n">
        <x:v>1405593.8100477695</x:v>
      </x:c>
      <x:c r="K20" s="9" t="n">
        <x:v>5006461.537949758</x:v>
      </x:c>
      <x:c r="L20" s="9" t="n">
        <x:v>16567938.311044382</x:v>
      </x:c>
      <x:c r="M20" s="9" t="n">
        <x:v>1641973.9459942856</x:v>
      </x:c>
      <x:c r="N20" s="9" t="n">
        <x:v>25090902.379416525</x:v>
      </x:c>
      <x:c r="O20" s="9" t="n">
        <x:v>19114627.81978218</x:v>
      </x:c>
      <x:c r="P20" s="9" t="n">
        <x:v>644558351.2920581</x:v>
      </x:c>
      <x:c r="Q20" s="9" t="n">
        <x:v>340797414.18881625</x:v>
      </x:c>
      <x:c r="R20" s="9" t="n">
        <x:v>10722923.274935873</x:v>
      </x:c>
      <x:c r="S20" s="9" t="n">
        <x:v>186046623.53830492</x:v>
      </x:c>
      <x:c r="T20" s="9" t="n">
        <x:v>127878424.29929143</x:v>
      </x:c>
      <x:c r="U20" s="9" t="n">
        <x:v>216100257.54557973</x:v>
      </x:c>
      <x:c r="V20" s="9" t="n">
        <x:v>23794392.64301326</x:v>
      </x:c>
      <x:c r="W20" s="9" t="n">
        <x:v>122216147.13636851</x:v>
      </x:c>
      <x:c r="X20" s="9" t="n">
        <x:v>13109077.712184941</x:v>
      </x:c>
      <x:c r="Y20" s="9" t="n">
        <x:v>29195641.23309057</x:v>
      </x:c>
      <x:c r="Z20" s="9" t="n">
        <x:v>1384474.1497671804</x:v>
      </x:c>
      <x:c r="AA20" s="9" t="n">
        <x:v>5222410.565662807</x:v>
      </x:c>
      <x:c r="AB20" s="9" t="n">
        <x:v>431093429.0300559</x:v>
      </x:c>
      <x:c r="AC20" s="9" t="n">
        <x:v>13092717.86982521</x:v>
      </x:c>
      <x:c r="AD20" s="9" t="n">
        <x:v>13591908.185664635</x:v>
      </x:c>
      <x:c r="AE20" s="9" t="n">
        <x:v>8668758.680179663</x:v>
      </x:c>
      <x:c r="AF20" s="9" t="n">
        <x:v>19047935.930456355</x:v>
      </x:c>
      <x:c r="AG20" s="9" t="n">
        <x:v>1126399.1553983088</x:v>
      </x:c>
      <x:c r="AH20" s="9" t="n">
        <x:v>730486.1059900799</x:v>
      </x:c>
      <x:c r="AI20" s="9" t="n">
        <x:v>1481802.8975516665</x:v>
      </x:c>
      <x:c r="AJ20" s="9" t="n">
        <x:v>2871025.810118951</x:v>
      </x:c>
      <x:c r="AK20" s="9" t="n">
        <x:v>5578883.813983137</x:v>
      </x:c>
      <x:c r="AL20" s="9" t="n">
        <x:v>219787.051481359</x:v>
      </x:c>
      <x:c r="AM20" s="9" t="n">
        <x:v>90159.87995953952</x:v>
      </x:c>
      <x:c r="AN20" s="9" t="n">
        <x:v>229740.0560296797</x:v>
      </x:c>
      <x:c r="AO20" s="9" t="n">
        <x:v>658669.9236744681</x:v>
      </x:c>
      <x:c r="AP20" s="9" t="n">
        <x:v>1195394.4370952356</x:v>
      </x:c>
      <x:c r="AQ20" s="9" t="n">
        <x:v>3525.387616208527</x:v>
      </x:c>
      <x:c r="AR20" s="9" t="n">
        <x:v>1155875.9153675549</x:v>
      </x:c>
      <x:c r="AS20" s="9" t="n">
        <x:v>6256728.911431868</x:v>
      </x:c>
      <x:c r="AT20" s="9" t="n">
        <x:v>1154029.5231585787</x:v>
      </x:c>
      <x:c r="AU20" s="9" t="n">
        <x:v>1682719.0117855668</x:v>
      </x:c>
      <x:c r="AV20" s="9" t="n">
        <x:v>10681228.881838428</x:v>
      </x:c>
      <x:c r="AW20" s="9" t="n">
        <x:v>249096.32466762597</x:v>
      </x:c>
      <x:c r="AX20" s="9" t="n">
        <x:v>1233361.919269655</x:v>
      </x:c>
      <x:c r="AY20" s="9" t="n">
        <x:v>901401.3724571259</x:v>
      </x:c>
      <x:c r="AZ20" s="9" t="n">
        <x:v>989287.0783677117</x:v>
      </x:c>
      <x:c r="BA20" s="9" t="n">
        <x:v>284560.16341295507</x:v>
      </x:c>
      <x:c r="BB20" s="9" t="n">
        <x:v>748764.3565005679</x:v>
      </x:c>
      <x:c r="BC20" s="9" t="n">
        <x:v>3435415.855988095</x:v>
      </x:c>
      <x:c r="BD20" s="9" t="n">
        <x:v>1986701.5811704185</x:v>
      </x:c>
      <x:c r="BE20" s="9" t="n">
        <x:v>541067.3751657302</x:v>
      </x:c>
      <x:c r="BF20" s="9" t="n">
        <x:v>1325560.4763661795</x:v>
      </x:c>
      <x:c r="BG20" s="9" t="n">
        <x:v>156365.61104944465</x:v>
      </x:c>
      <x:c r="BH20" s="9" t="n">
        <x:v>455317.0085464899</x:v>
      </x:c>
      <x:c r="BI20" s="9" t="n">
        <x:v>288122.4773227932</x:v>
      </x:c>
      <x:c r="BJ20" s="9" t="n">
        <x:v>95864.06958085838</x:v>
      </x:c>
      <x:c r="BK20" s="9" t="n">
        <x:v>344726.4957194367</x:v>
      </x:c>
      <x:c r="BL20" s="9" t="n">
        <x:v>411556.01154136076</x:v>
      </x:c>
      <x:c r="BM20" s="9" t="n">
        <x:v>0</x:v>
      </x:c>
      <x:c r="BN20" s="9" t="n">
        <x:v>0</x:v>
      </x:c>
      <x:c r="BO20" s="9" t="n">
        <x:v>0</x:v>
      </x:c>
      <x:c r="BP20" s="9" t="n">
        <x:v>0</x:v>
      </x:c>
      <x:c r="BQ20" s="9" t="n">
        <x:v>0</x:v>
      </x:c>
      <x:c r="BR20" s="9" t="n">
        <x:v>0</x:v>
      </x:c>
      <x:c r="BS20" s="9" t="n">
        <x:v>20638793.67863967</x:v>
      </x:c>
      <x:c r="BT20" s="9" t="n">
        <x:v>187310.35046805852</x:v>
      </x:c>
      <x:c r="BU20" s="9" t="n">
        <x:v>227470602.9943362</x:v>
      </x:c>
      <x:c r="BV20" s="9" t="n">
        <x:v>514992787.84850085</x:v>
      </x:c>
      <x:c r="BW20" s="16" t="n">
        <x:f>SUM(B20:BV20)</x:f>
        <x:v>3131001584.6051536</x:v>
      </x:c>
    </x:row>
    <x:row r="21" ht="22" customHeight="1">
      <x:c r="A21" s="2" t="str">
        <x:v>S15</x:v>
      </x:c>
      <x:c r="B21" s="9" t="n">
        <x:v>902092.7025279033</x:v>
      </x:c>
      <x:c r="C21" s="9" t="n">
        <x:v>172151.47962223066</x:v>
      </x:c>
      <x:c r="D21" s="9" t="n">
        <x:v>44087.5112394372</x:v>
      </x:c>
      <x:c r="E21" s="9" t="n">
        <x:v>5804128.110376231</x:v>
      </x:c>
      <x:c r="F21" s="9" t="n">
        <x:v>6666138.633951825</x:v>
      </x:c>
      <x:c r="G21" s="9" t="n">
        <x:v>7759078.363364159</x:v>
      </x:c>
      <x:c r="H21" s="9" t="n">
        <x:v>4097641.402802689</x:v>
      </x:c>
      <x:c r="I21" s="9" t="n">
        <x:v>2334979.8830133076</x:v>
      </x:c>
      <x:c r="J21" s="9" t="n">
        <x:v>942344.7314978654</x:v>
      </x:c>
      <x:c r="K21" s="9" t="n">
        <x:v>646958.1687932021</x:v>
      </x:c>
      <x:c r="L21" s="9" t="n">
        <x:v>3436968.134746944</x:v>
      </x:c>
      <x:c r="M21" s="9" t="n">
        <x:v>542229.3841687993</x:v>
      </x:c>
      <x:c r="N21" s="9" t="n">
        <x:v>19511143.846461117</x:v>
      </x:c>
      <x:c r="O21" s="9" t="n">
        <x:v>15013611.166187342</x:v>
      </x:c>
      <x:c r="P21" s="9" t="n">
        <x:v>41458973.46390666</x:v>
      </x:c>
      <x:c r="Q21" s="9" t="n">
        <x:v>96262424.53753528</x:v>
      </x:c>
      <x:c r="R21" s="9" t="n">
        <x:v>4881940.621823048</x:v>
      </x:c>
      <x:c r="S21" s="9" t="n">
        <x:v>28888394.792717457</x:v>
      </x:c>
      <x:c r="T21" s="9" t="n">
        <x:v>51480796.69712397</x:v>
      </x:c>
      <x:c r="U21" s="9" t="n">
        <x:v>90677590.50393637</x:v>
      </x:c>
      <x:c r="V21" s="9" t="n">
        <x:v>19325157.563830473</x:v>
      </x:c>
      <x:c r="W21" s="9" t="n">
        <x:v>18078524.448728565</x:v>
      </x:c>
      <x:c r="X21" s="9" t="n">
        <x:v>12868487.304612774</x:v>
      </x:c>
      <x:c r="Y21" s="9" t="n">
        <x:v>8936658.19813819</x:v>
      </x:c>
      <x:c r="Z21" s="9" t="n">
        <x:v>1183888.2559933097</x:v>
      </x:c>
      <x:c r="AA21" s="9" t="n">
        <x:v>1997181.8994990392</x:v>
      </x:c>
      <x:c r="AB21" s="9" t="n">
        <x:v>189832900.1095466</x:v>
      </x:c>
      <x:c r="AC21" s="9" t="n">
        <x:v>9673236.353042401</x:v>
      </x:c>
      <x:c r="AD21" s="9" t="n">
        <x:v>6039543.573790808</x:v>
      </x:c>
      <x:c r="AE21" s="9" t="n">
        <x:v>5356718.931903607</x:v>
      </x:c>
      <x:c r="AF21" s="9" t="n">
        <x:v>9279688.08784615</x:v>
      </x:c>
      <x:c r="AG21" s="9" t="n">
        <x:v>1484225.3991857944</x:v>
      </x:c>
      <x:c r="AH21" s="9" t="n">
        <x:v>877542.7222047535</x:v>
      </x:c>
      <x:c r="AI21" s="9" t="n">
        <x:v>2882919.2370694224</x:v>
      </x:c>
      <x:c r="AJ21" s="9" t="n">
        <x:v>484511.16710377403</x:v>
      </x:c>
      <x:c r="AK21" s="9" t="n">
        <x:v>6097137.365617375</x:v>
      </x:c>
      <x:c r="AL21" s="9" t="n">
        <x:v>150281.6170591133</x:v>
      </x:c>
      <x:c r="AM21" s="9" t="n">
        <x:v>222749.37306177933</x:v>
      </x:c>
      <x:c r="AN21" s="9" t="n">
        <x:v>302799.2562319773</x:v>
      </x:c>
      <x:c r="AO21" s="9" t="n">
        <x:v>847037.2332050169</x:v>
      </x:c>
      <x:c r="AP21" s="9" t="n">
        <x:v>92387.95430864865</x:v>
      </x:c>
      <x:c r="AQ21" s="9" t="n">
        <x:v>1899.608445721857</x:v>
      </x:c>
      <x:c r="AR21" s="9" t="n">
        <x:v>67436.45275606136</x:v>
      </x:c>
      <x:c r="AS21" s="9" t="n">
        <x:v>2672658.31237785</x:v>
      </x:c>
      <x:c r="AT21" s="9" t="n">
        <x:v>4141520.0466814134</x:v>
      </x:c>
      <x:c r="AU21" s="9" t="n">
        <x:v>1033243.6800326025</x:v>
      </x:c>
      <x:c r="AV21" s="9" t="n">
        <x:v>8622986.352982936</x:v>
      </x:c>
      <x:c r="AW21" s="9" t="n">
        <x:v>335873.5966355896</x:v>
      </x:c>
      <x:c r="AX21" s="9" t="n">
        <x:v>1143049.615975119</x:v>
      </x:c>
      <x:c r="AY21" s="9" t="n">
        <x:v>935437.2938332626</x:v>
      </x:c>
      <x:c r="AZ21" s="9" t="n">
        <x:v>1032479.9267092366</x:v>
      </x:c>
      <x:c r="BA21" s="9" t="n">
        <x:v>121870.07794078486</x:v>
      </x:c>
      <x:c r="BB21" s="9" t="n">
        <x:v>331755.03232305427</x:v>
      </x:c>
      <x:c r="BC21" s="9" t="n">
        <x:v>1501608.0543658931</x:v>
      </x:c>
      <x:c r="BD21" s="9" t="n">
        <x:v>9647375.981581725</x:v>
      </x:c>
      <x:c r="BE21" s="9" t="n">
        <x:v>499140.58251115656</x:v>
      </x:c>
      <x:c r="BF21" s="9" t="n">
        <x:v>1313040.324702984</x:v>
      </x:c>
      <x:c r="BG21" s="9" t="n">
        <x:v>231195.43577124938</x:v>
      </x:c>
      <x:c r="BH21" s="9" t="n">
        <x:v>353173.7740428926</x:v>
      </x:c>
      <x:c r="BI21" s="9" t="n">
        <x:v>443820.55166601285</x:v>
      </x:c>
      <x:c r="BJ21" s="9" t="n">
        <x:v>125633.94159644241</x:v>
      </x:c>
      <x:c r="BK21" s="9" t="n">
        <x:v>613749.0950344703</x:v>
      </x:c>
      <x:c r="BL21" s="9" t="n">
        <x:v>415618.70734601386</x:v>
      </x:c>
      <x:c r="BM21" s="9" t="n">
        <x:v>0</x:v>
      </x:c>
      <x:c r="BN21" s="9" t="n">
        <x:v>0</x:v>
      </x:c>
      <x:c r="BO21" s="9" t="n">
        <x:v>0</x:v>
      </x:c>
      <x:c r="BP21" s="9" t="n">
        <x:v>0</x:v>
      </x:c>
      <x:c r="BQ21" s="9" t="n">
        <x:v>0</x:v>
      </x:c>
      <x:c r="BR21" s="9" t="n">
        <x:v>0</x:v>
      </x:c>
      <x:c r="BS21" s="9" t="n">
        <x:v>59040212.383740015</x:v>
      </x:c>
      <x:c r="BT21" s="9" t="n">
        <x:v>253279.6415349555</x:v>
      </x:c>
      <x:c r="BU21" s="9" t="n">
        <x:v>346338535.6815127</x:v>
      </x:c>
      <x:c r="BV21" s="9" t="n">
        <x:v>281269614.21400255</x:v>
      </x:c>
      <x:c r="BW21" s="16" t="n">
        <x:f>SUM(B21:BV21)</x:f>
        <x:v>1400023458.5538778</x:v>
      </x:c>
    </x:row>
    <x:row r="22" ht="22" customHeight="1">
      <x:c r="A22" s="2" t="str">
        <x:v>S16</x:v>
      </x:c>
      <x:c r="B22" s="9" t="n">
        <x:v>293446.3720600228</x:v>
      </x:c>
      <x:c r="C22" s="9" t="n">
        <x:v>57135.21825380593</x:v>
      </x:c>
      <x:c r="D22" s="9" t="n">
        <x:v>10748.745407924896</x:v>
      </x:c>
      <x:c r="E22" s="9" t="n">
        <x:v>1434575.8631986328</x:v>
      </x:c>
      <x:c r="F22" s="9" t="n">
        <x:v>3111059.8459135154</x:v>
      </x:c>
      <x:c r="G22" s="9" t="n">
        <x:v>4245671.581371568</x:v>
      </x:c>
      <x:c r="H22" s="9" t="n">
        <x:v>453593.54435954115</x:v>
      </x:c>
      <x:c r="I22" s="9" t="n">
        <x:v>993519.0668961091</x:v>
      </x:c>
      <x:c r="J22" s="9" t="n">
        <x:v>351646.3576700812</x:v>
      </x:c>
      <x:c r="K22" s="9" t="n">
        <x:v>310401.3490760078</x:v>
      </x:c>
      <x:c r="L22" s="9" t="n">
        <x:v>580419.4894795166</x:v>
      </x:c>
      <x:c r="M22" s="9" t="n">
        <x:v>224816.66728623808</x:v>
      </x:c>
      <x:c r="N22" s="9" t="n">
        <x:v>2490342.392751413</x:v>
      </x:c>
      <x:c r="O22" s="9" t="n">
        <x:v>1932639.4327438688</x:v>
      </x:c>
      <x:c r="P22" s="9" t="n">
        <x:v>2265742.9755429397</x:v>
      </x:c>
      <x:c r="Q22" s="9" t="n">
        <x:v>3461253.5191910546</x:v>
      </x:c>
      <x:c r="R22" s="9" t="n">
        <x:v>60253524.15831825</x:v>
      </x:c>
      <x:c r="S22" s="9" t="n">
        <x:v>17219699.59885627</x:v>
      </x:c>
      <x:c r="T22" s="9" t="n">
        <x:v>12377414.89633129</x:v>
      </x:c>
      <x:c r="U22" s="9" t="n">
        <x:v>8906773.679504592</x:v>
      </x:c>
      <x:c r="V22" s="9" t="n">
        <x:v>8246441.463162933</x:v>
      </x:c>
      <x:c r="W22" s="9" t="n">
        <x:v>1914941.939575629</x:v>
      </x:c>
      <x:c r="X22" s="9" t="n">
        <x:v>5634628.885449507</x:v>
      </x:c>
      <x:c r="Y22" s="9" t="n">
        <x:v>13520990.435309332</x:v>
      </x:c>
      <x:c r="Z22" s="9" t="n">
        <x:v>560863.2970506647</x:v>
      </x:c>
      <x:c r="AA22" s="9" t="n">
        <x:v>2516075.84144695</x:v>
      </x:c>
      <x:c r="AB22" s="9" t="n">
        <x:v>25577845.874577466</x:v>
      </x:c>
      <x:c r="AC22" s="9" t="n">
        <x:v>1550100.9513784212</x:v>
      </x:c>
      <x:c r="AD22" s="9" t="n">
        <x:v>2994751.678637461</x:v>
      </x:c>
      <x:c r="AE22" s="9" t="n">
        <x:v>1329618.5508125008</x:v>
      </x:c>
      <x:c r="AF22" s="9" t="n">
        <x:v>2322240.1363893636</x:v>
      </x:c>
      <x:c r="AG22" s="9" t="n">
        <x:v>1980968.0871080551</x:v>
      </x:c>
      <x:c r="AH22" s="9" t="n">
        <x:v>1417406.211785112</x:v>
      </x:c>
      <x:c r="AI22" s="9" t="n">
        <x:v>6258040.849864499</x:v>
      </x:c>
      <x:c r="AJ22" s="9" t="n">
        <x:v>1087315.3722066241</x:v>
      </x:c>
      <x:c r="AK22" s="9" t="n">
        <x:v>4464406.664061431</x:v>
      </x:c>
      <x:c r="AL22" s="9" t="n">
        <x:v>1537251.1610209348</x:v>
      </x:c>
      <x:c r="AM22" s="9" t="n">
        <x:v>294951.581124586</x:v>
      </x:c>
      <x:c r="AN22" s="9" t="n">
        <x:v>9434348.283833707</x:v>
      </x:c>
      <x:c r="AO22" s="9" t="n">
        <x:v>12231723.076133883</x:v>
      </x:c>
      <x:c r="AP22" s="9" t="n">
        <x:v>351859.79496607237</x:v>
      </x:c>
      <x:c r="AQ22" s="9" t="n">
        <x:v>7264.52418124754</x:v>
      </x:c>
      <x:c r="AR22" s="9" t="n">
        <x:v>36129.34718657446</x:v>
      </x:c>
      <x:c r="AS22" s="9" t="n">
        <x:v>1637973.7087969892</x:v>
      </x:c>
      <x:c r="AT22" s="9" t="n">
        <x:v>126197.14833971739</x:v>
      </x:c>
      <x:c r="AU22" s="9" t="n">
        <x:v>1649382.2710276812</x:v>
      </x:c>
      <x:c r="AV22" s="9" t="n">
        <x:v>5620812.3648554655</x:v>
      </x:c>
      <x:c r="AW22" s="9" t="n">
        <x:v>1156649.3366673868</x:v>
      </x:c>
      <x:c r="AX22" s="9" t="n">
        <x:v>989771.6528112547</x:v>
      </x:c>
      <x:c r="AY22" s="9" t="n">
        <x:v>316780.99799678527</x:v>
      </x:c>
      <x:c r="AZ22" s="9" t="n">
        <x:v>416294.8490738859</x:v>
      </x:c>
      <x:c r="BA22" s="9" t="n">
        <x:v>84147.34121056319</x:v>
      </x:c>
      <x:c r="BB22" s="9" t="n">
        <x:v>280436.6980648363</x:v>
      </x:c>
      <x:c r="BC22" s="9" t="n">
        <x:v>5565727.207393683</x:v>
      </x:c>
      <x:c r="BD22" s="9" t="n">
        <x:v>1521426.9311097926</x:v>
      </x:c>
      <x:c r="BE22" s="9" t="n">
        <x:v>749434.7174964319</x:v>
      </x:c>
      <x:c r="BF22" s="9" t="n">
        <x:v>5699550.971841607</x:v>
      </x:c>
      <x:c r="BG22" s="9" t="n">
        <x:v>62353.08978167195</x:v>
      </x:c>
      <x:c r="BH22" s="9" t="n">
        <x:v>2403128.652197929</x:v>
      </x:c>
      <x:c r="BI22" s="9" t="n">
        <x:v>203155.90432707206</x:v>
      </x:c>
      <x:c r="BJ22" s="9" t="n">
        <x:v>352294.9035152867</x:v>
      </x:c>
      <x:c r="BK22" s="9" t="n">
        <x:v>4856087.525843974</x:v>
      </x:c>
      <x:c r="BL22" s="9" t="n">
        <x:v>225062.7697034203</x:v>
      </x:c>
      <x:c r="BM22" s="9" t="n">
        <x:v>0</x:v>
      </x:c>
      <x:c r="BN22" s="9" t="n">
        <x:v>0</x:v>
      </x:c>
      <x:c r="BO22" s="9" t="n">
        <x:v>0</x:v>
      </x:c>
      <x:c r="BP22" s="9" t="n">
        <x:v>0</x:v>
      </x:c>
      <x:c r="BQ22" s="9" t="n">
        <x:v>0</x:v>
      </x:c>
      <x:c r="BR22" s="9" t="n">
        <x:v>0</x:v>
      </x:c>
      <x:c r="BS22" s="9" t="n">
        <x:v>146296571.95437366</x:v>
      </x:c>
      <x:c r="BT22" s="9" t="n">
        <x:v>866186.5781843336</x:v>
      </x:c>
      <x:c r="BU22" s="9" t="n">
        <x:v>242820657.9297694</x:v>
      </x:c>
      <x:c r="BV22" s="9" t="n">
        <x:v>72092382.58871087</x:v>
      </x:c>
      <x:c r="BW22" s="16" t="n">
        <x:f>SUM(B22:BV22)</x:f>
        <x:v>722237056.8545693</x:v>
      </x:c>
    </x:row>
    <x:row r="23" ht="22" customHeight="1">
      <x:c r="A23" s="2" t="str">
        <x:v>S17</x:v>
      </x:c>
      <x:c r="B23" s="9" t="n">
        <x:v>1667968.7935861417</x:v>
      </x:c>
      <x:c r="C23" s="9" t="n">
        <x:v>30389.765345741678</x:v>
      </x:c>
      <x:c r="D23" s="9" t="n">
        <x:v>53792.69473766438</x:v>
      </x:c>
      <x:c r="E23" s="9" t="n">
        <x:v>2932340.557162597</x:v>
      </x:c>
      <x:c r="F23" s="9" t="n">
        <x:v>6349592.18117185</x:v>
      </x:c>
      <x:c r="G23" s="9" t="n">
        <x:v>6226904.321324604</x:v>
      </x:c>
      <x:c r="H23" s="9" t="n">
        <x:v>1182476.1958977957</x:v>
      </x:c>
      <x:c r="I23" s="9" t="n">
        <x:v>2293343.1179022486</x:v>
      </x:c>
      <x:c r="J23" s="9" t="n">
        <x:v>1001220.0298387987</x:v>
      </x:c>
      <x:c r="K23" s="9" t="n">
        <x:v>685826.2130916101</x:v>
      </x:c>
      <x:c r="L23" s="9" t="n">
        <x:v>2063323.1169484125</x:v>
      </x:c>
      <x:c r="M23" s="9" t="n">
        <x:v>487929.9546118657</x:v>
      </x:c>
      <x:c r="N23" s="9" t="n">
        <x:v>8248696.766098877</x:v>
      </x:c>
      <x:c r="O23" s="9" t="n">
        <x:v>6305242.1318960525</x:v>
      </x:c>
      <x:c r="P23" s="9" t="n">
        <x:v>15780368.456094299</x:v>
      </x:c>
      <x:c r="Q23" s="9" t="n">
        <x:v>17183965.177597705</x:v>
      </x:c>
      <x:c r="R23" s="9" t="n">
        <x:v>19263374.791611068</x:v>
      </x:c>
      <x:c r="S23" s="9" t="n">
        <x:v>106800086.25968596</x:v>
      </x:c>
      <x:c r="T23" s="9" t="n">
        <x:v>32332124.753919005</x:v>
      </x:c>
      <x:c r="U23" s="9" t="n">
        <x:v>58485606.79218826</x:v>
      </x:c>
      <x:c r="V23" s="9" t="n">
        <x:v>13778691.135375176</x:v>
      </x:c>
      <x:c r="W23" s="9" t="n">
        <x:v>4944395.50883528</x:v>
      </x:c>
      <x:c r="X23" s="9" t="n">
        <x:v>16917388.471282866</x:v>
      </x:c>
      <x:c r="Y23" s="9" t="n">
        <x:v>18797723.700574026</x:v>
      </x:c>
      <x:c r="Z23" s="9" t="n">
        <x:v>1254205.9495357142</x:v>
      </x:c>
      <x:c r="AA23" s="9" t="n">
        <x:v>1834587.8009867116</x:v>
      </x:c>
      <x:c r="AB23" s="9" t="n">
        <x:v>93384193.23213737</x:v>
      </x:c>
      <x:c r="AC23" s="9" t="n">
        <x:v>9387861.311777381</x:v>
      </x:c>
      <x:c r="AD23" s="9" t="n">
        <x:v>12480094.056134397</x:v>
      </x:c>
      <x:c r="AE23" s="9" t="n">
        <x:v>3393772.542762053</x:v>
      </x:c>
      <x:c r="AF23" s="9" t="n">
        <x:v>6369538.54710775</x:v>
      </x:c>
      <x:c r="AG23" s="9" t="n">
        <x:v>745648.5218286597</x:v>
      </x:c>
      <x:c r="AH23" s="9" t="n">
        <x:v>1057995.7891451444</x:v>
      </x:c>
      <x:c r="AI23" s="9" t="n">
        <x:v>4462403.735187043</x:v>
      </x:c>
      <x:c r="AJ23" s="9" t="n">
        <x:v>1117757.8675039925</x:v>
      </x:c>
      <x:c r="AK23" s="9" t="n">
        <x:v>5793013.690563034</x:v>
      </x:c>
      <x:c r="AL23" s="9" t="n">
        <x:v>362012.2746435251</x:v>
      </x:c>
      <x:c r="AM23" s="9" t="n">
        <x:v>395767.59621053893</x:v>
      </x:c>
      <x:c r="AN23" s="9" t="n">
        <x:v>2608130.688653293</x:v>
      </x:c>
      <x:c r="AO23" s="9" t="n">
        <x:v>3048645.604760913</x:v>
      </x:c>
      <x:c r="AP23" s="9" t="n">
        <x:v>571141.0485263863</x:v>
      </x:c>
      <x:c r="AQ23" s="9" t="n">
        <x:v>37656.21088951566</x:v>
      </x:c>
      <x:c r="AR23" s="9" t="n">
        <x:v>743516.9736891446</x:v>
      </x:c>
      <x:c r="AS23" s="9" t="n">
        <x:v>3000410.611804654</x:v>
      </x:c>
      <x:c r="AT23" s="9" t="n">
        <x:v>6490261.262479942</x:v>
      </x:c>
      <x:c r="AU23" s="9" t="n">
        <x:v>1791720.9065848943</x:v>
      </x:c>
      <x:c r="AV23" s="9" t="n">
        <x:v>10658929.58581848</x:v>
      </x:c>
      <x:c r="AW23" s="9" t="n">
        <x:v>845923.2522766555</x:v>
      </x:c>
      <x:c r="AX23" s="9" t="n">
        <x:v>1558264.6235739007</x:v>
      </x:c>
      <x:c r="AY23" s="9" t="n">
        <x:v>866132.3382621806</x:v>
      </x:c>
      <x:c r="AZ23" s="9" t="n">
        <x:v>950814.2771902874</x:v>
      </x:c>
      <x:c r="BA23" s="9" t="n">
        <x:v>114721.2419477397</x:v>
      </x:c>
      <x:c r="BB23" s="9" t="n">
        <x:v>367301.8920325489</x:v>
      </x:c>
      <x:c r="BC23" s="9" t="n">
        <x:v>2794907.2683261237</x:v>
      </x:c>
      <x:c r="BD23" s="9" t="n">
        <x:v>7610262.15499664</x:v>
      </x:c>
      <x:c r="BE23" s="9" t="n">
        <x:v>1313372.9792245098</x:v>
      </x:c>
      <x:c r="BF23" s="9" t="n">
        <x:v>2113422.8165638726</x:v>
      </x:c>
      <x:c r="BG23" s="9" t="n">
        <x:v>416689.3582243839</x:v>
      </x:c>
      <x:c r="BH23" s="9" t="n">
        <x:v>682654.1156407016</x:v>
      </x:c>
      <x:c r="BI23" s="9" t="n">
        <x:v>411758.3547323957</x:v>
      </x:c>
      <x:c r="BJ23" s="9" t="n">
        <x:v>321818.27148044854</x:v>
      </x:c>
      <x:c r="BK23" s="9" t="n">
        <x:v>3585396.8411022862</x:v>
      </x:c>
      <x:c r="BL23" s="9" t="n">
        <x:v>403098.11738005636</x:v>
      </x:c>
      <x:c r="BM23" s="9" t="n">
        <x:v>0</x:v>
      </x:c>
      <x:c r="BN23" s="9" t="n">
        <x:v>0</x:v>
      </x:c>
      <x:c r="BO23" s="9" t="n">
        <x:v>0</x:v>
      </x:c>
      <x:c r="BP23" s="9" t="n">
        <x:v>0</x:v>
      </x:c>
      <x:c r="BQ23" s="9" t="n">
        <x:v>0</x:v>
      </x:c>
      <x:c r="BR23" s="9" t="n">
        <x:v>0</x:v>
      </x:c>
      <x:c r="BS23" s="9" t="n">
        <x:v>259369518.1196462</x:v>
      </x:c>
      <x:c r="BT23" s="9" t="n">
        <x:v>655686.9078310602</x:v>
      </x:c>
      <x:c r="BU23" s="9" t="n">
        <x:v>170477444.1956478</x:v>
      </x:c>
      <x:c r="BV23" s="9" t="n">
        <x:v>342406182.52218664</x:v>
      </x:c>
      <x:c r="BW23" s="16" t="n">
        <x:f>SUM(B23:BV23)</x:f>
        <x:v>1312067406.3437748</x:v>
      </x:c>
    </x:row>
    <x:row r="24" ht="22" customHeight="1">
      <x:c r="A24" s="2" t="str">
        <x:v>S18</x:v>
      </x:c>
      <x:c r="B24" s="9" t="n">
        <x:v>1274373.864505438</x:v>
      </x:c>
      <x:c r="C24" s="9" t="n">
        <x:v>221549.78519448522</x:v>
      </x:c>
      <x:c r="D24" s="9" t="n">
        <x:v>62068.01610496621</x:v>
      </x:c>
      <x:c r="E24" s="9" t="n">
        <x:v>6816367.524954231</x:v>
      </x:c>
      <x:c r="F24" s="9" t="n">
        <x:v>7069536.191883188</x:v>
      </x:c>
      <x:c r="G24" s="9" t="n">
        <x:v>9183479.839401994</x:v>
      </x:c>
      <x:c r="H24" s="9" t="n">
        <x:v>1556342.4653898813</x:v>
      </x:c>
      <x:c r="I24" s="9" t="n">
        <x:v>2851181.300134235</x:v>
      </x:c>
      <x:c r="J24" s="9" t="n">
        <x:v>874891.1796925905</x:v>
      </x:c>
      <x:c r="K24" s="9" t="n">
        <x:v>1069285.8775493798</x:v>
      </x:c>
      <x:c r="L24" s="9" t="n">
        <x:v>4080710.377692939</x:v>
      </x:c>
      <x:c r="M24" s="9" t="n">
        <x:v>833140.301878592</x:v>
      </x:c>
      <x:c r="N24" s="9" t="n">
        <x:v>8313334.951905971</x:v>
      </x:c>
      <x:c r="O24" s="9" t="n">
        <x:v>8128260.476537844</x:v>
      </x:c>
      <x:c r="P24" s="9" t="n">
        <x:v>15785997.968288518</x:v>
      </x:c>
      <x:c r="Q24" s="9" t="n">
        <x:v>19005265.005917702</x:v>
      </x:c>
      <x:c r="R24" s="9" t="n">
        <x:v>2906534.993288554</x:v>
      </x:c>
      <x:c r="S24" s="9" t="n">
        <x:v>18048540.66518546</x:v>
      </x:c>
      <x:c r="T24" s="9" t="n">
        <x:v>72809217.47548293</x:v>
      </x:c>
      <x:c r="U24" s="9" t="n">
        <x:v>35626603.92750518</x:v>
      </x:c>
      <x:c r="V24" s="9" t="n">
        <x:v>8617779.106317542</x:v>
      </x:c>
      <x:c r="W24" s="9" t="n">
        <x:v>3959490.2571232654</x:v>
      </x:c>
      <x:c r="X24" s="9" t="n">
        <x:v>16497130.180641953</x:v>
      </x:c>
      <x:c r="Y24" s="9" t="n">
        <x:v>5513121.908830058</x:v>
      </x:c>
      <x:c r="Z24" s="9" t="n">
        <x:v>967333.7942314993</x:v>
      </x:c>
      <x:c r="AA24" s="9" t="n">
        <x:v>1573447.9742693938</x:v>
      </x:c>
      <x:c r="AB24" s="9" t="n">
        <x:v>51352249.08494968</x:v>
      </x:c>
      <x:c r="AC24" s="9" t="n">
        <x:v>19249365.043710455</x:v>
      </x:c>
      <x:c r="AD24" s="9" t="n">
        <x:v>3401769.6334330756</x:v>
      </x:c>
      <x:c r="AE24" s="9" t="n">
        <x:v>2364879.477643498</x:v>
      </x:c>
      <x:c r="AF24" s="9" t="n">
        <x:v>8828218.085980754</x:v>
      </x:c>
      <x:c r="AG24" s="9" t="n">
        <x:v>969546.5808919115</x:v>
      </x:c>
      <x:c r="AH24" s="9" t="n">
        <x:v>1637428.468093202</x:v>
      </x:c>
      <x:c r="AI24" s="9" t="n">
        <x:v>3972130.3683907543</x:v>
      </x:c>
      <x:c r="AJ24" s="9" t="n">
        <x:v>661573.2799677636</x:v>
      </x:c>
      <x:c r="AK24" s="9" t="n">
        <x:v>2679581.3286953764</x:v>
      </x:c>
      <x:c r="AL24" s="9" t="n">
        <x:v>147050.2864095046</x:v>
      </x:c>
      <x:c r="AM24" s="9" t="n">
        <x:v>103441.53287512372</x:v>
      </x:c>
      <x:c r="AN24" s="9" t="n">
        <x:v>255373.77993514878</x:v>
      </x:c>
      <x:c r="AO24" s="9" t="n">
        <x:v>1166805.1761363395</x:v>
      </x:c>
      <x:c r="AP24" s="9" t="n">
        <x:v>264544.0175323323</x:v>
      </x:c>
      <x:c r="AQ24" s="9" t="n">
        <x:v>3033.6921139595242</x:v>
      </x:c>
      <x:c r="AR24" s="9" t="n">
        <x:v>57788.105836547205</x:v>
      </x:c>
      <x:c r="AS24" s="9" t="n">
        <x:v>1311865.5850032219</x:v>
      </x:c>
      <x:c r="AT24" s="9" t="n">
        <x:v>2382959.3673276436</x:v>
      </x:c>
      <x:c r="AU24" s="9" t="n">
        <x:v>858295.3504567554</x:v>
      </x:c>
      <x:c r="AV24" s="9" t="n">
        <x:v>4102165.5554462047</x:v>
      </x:c>
      <x:c r="AW24" s="9" t="n">
        <x:v>475328.8365122484</x:v>
      </x:c>
      <x:c r="AX24" s="9" t="n">
        <x:v>385879.03548389784</x:v>
      </x:c>
      <x:c r="AY24" s="9" t="n">
        <x:v>329214.30973939697</x:v>
      </x:c>
      <x:c r="AZ24" s="9" t="n">
        <x:v>1394461.0380108831</x:v>
      </x:c>
      <x:c r="BA24" s="9" t="n">
        <x:v>107050.7751957661</x:v>
      </x:c>
      <x:c r="BB24" s="9" t="n">
        <x:v>178565.7569563575</x:v>
      </x:c>
      <x:c r="BC24" s="9" t="n">
        <x:v>919164.954927118</x:v>
      </x:c>
      <x:c r="BD24" s="9" t="n">
        <x:v>1281566.8543041982</x:v>
      </x:c>
      <x:c r="BE24" s="9" t="n">
        <x:v>344701.6108101349</x:v>
      </x:c>
      <x:c r="BF24" s="9" t="n">
        <x:v>2035843.8300979205</x:v>
      </x:c>
      <x:c r="BG24" s="9" t="n">
        <x:v>403773.65284307726</x:v>
      </x:c>
      <x:c r="BH24" s="9" t="n">
        <x:v>310512.3072372178</x:v>
      </x:c>
      <x:c r="BI24" s="9" t="n">
        <x:v>269522.45500568143</x:v>
      </x:c>
      <x:c r="BJ24" s="9" t="n">
        <x:v>159972.72618204542</x:v>
      </x:c>
      <x:c r="BK24" s="9" t="n">
        <x:v>961293.775328157</x:v>
      </x:c>
      <x:c r="BL24" s="9" t="n">
        <x:v>231833.93061501058</x:v>
      </x:c>
      <x:c r="BM24" s="9" t="n">
        <x:v>0</x:v>
      </x:c>
      <x:c r="BN24" s="9" t="n">
        <x:v>0</x:v>
      </x:c>
      <x:c r="BO24" s="9" t="n">
        <x:v>0</x:v>
      </x:c>
      <x:c r="BP24" s="9" t="n">
        <x:v>0</x:v>
      </x:c>
      <x:c r="BQ24" s="9" t="n">
        <x:v>0</x:v>
      </x:c>
      <x:c r="BR24" s="9" t="n">
        <x:v>0</x:v>
      </x:c>
      <x:c r="BS24" s="9" t="n">
        <x:v>31879128.918175865</x:v>
      </x:c>
      <x:c r="BT24" s="9" t="n">
        <x:v>469385.003790873</x:v>
      </x:c>
      <x:c r="BU24" s="9" t="n">
        <x:v>808206235.158467</x:v>
      </x:c>
      <x:c r="BV24" s="9" t="n">
        <x:v>336039094.9424783</x:v>
      </x:c>
      <x:c r="BW24" s="16" t="n">
        <x:f>SUM(B24:BV24)</x:f>
        <x:v>1545797579.0828981</x:v>
      </x:c>
    </x:row>
    <x:row r="25" ht="22" customHeight="1">
      <x:c r="A25" s="2" t="str">
        <x:v>S19</x:v>
      </x:c>
      <x:c r="B25" s="9" t="n">
        <x:v>3006296.6125835436</x:v>
      </x:c>
      <x:c r="C25" s="9" t="n">
        <x:v>109547.02226009511</x:v>
      </x:c>
      <x:c r="D25" s="9" t="n">
        <x:v>17955.456804784983</x:v>
      </x:c>
      <x:c r="E25" s="9" t="n">
        <x:v>2991462.306005409</x:v>
      </x:c>
      <x:c r="F25" s="9" t="n">
        <x:v>2753971.709424255</x:v>
      </x:c>
      <x:c r="G25" s="9" t="n">
        <x:v>4359793.865669302</x:v>
      </x:c>
      <x:c r="H25" s="9" t="n">
        <x:v>590465.4258444082</x:v>
      </x:c>
      <x:c r="I25" s="9" t="n">
        <x:v>883158.985791002</x:v>
      </x:c>
      <x:c r="J25" s="9" t="n">
        <x:v>378820.9902743622</x:v>
      </x:c>
      <x:c r="K25" s="9" t="n">
        <x:v>441116.76863015606</x:v>
      </x:c>
      <x:c r="L25" s="9" t="n">
        <x:v>1159473.9992973</x:v>
      </x:c>
      <x:c r="M25" s="9" t="n">
        <x:v>231614.25847288762</x:v>
      </x:c>
      <x:c r="N25" s="9" t="n">
        <x:v>12656398.164280808</x:v>
      </x:c>
      <x:c r="O25" s="9" t="n">
        <x:v>5587817.668560576</x:v>
      </x:c>
      <x:c r="P25" s="9" t="n">
        <x:v>4891381.096623983</x:v>
      </x:c>
      <x:c r="Q25" s="9" t="n">
        <x:v>10737109.193437267</x:v>
      </x:c>
      <x:c r="R25" s="9" t="n">
        <x:v>1136735.6729011345</x:v>
      </x:c>
      <x:c r="S25" s="9" t="n">
        <x:v>24839100.78571116</x:v>
      </x:c>
      <x:c r="T25" s="9" t="n">
        <x:v>37827422.876655646</x:v>
      </x:c>
      <x:c r="U25" s="9" t="n">
        <x:v>212177214.36531445</x:v>
      </x:c>
      <x:c r="V25" s="9" t="n">
        <x:v>6472756.646946904</x:v>
      </x:c>
      <x:c r="W25" s="9" t="n">
        <x:v>2100265.6972469203</x:v>
      </x:c>
      <x:c r="X25" s="9" t="n">
        <x:v>4895708.244289886</x:v>
      </x:c>
      <x:c r="Y25" s="9" t="n">
        <x:v>1690545.608031555</x:v>
      </x:c>
      <x:c r="Z25" s="9" t="n">
        <x:v>482925.640240676</x:v>
      </x:c>
      <x:c r="AA25" s="9" t="n">
        <x:v>2019543.9512674927</x:v>
      </x:c>
      <x:c r="AB25" s="9" t="n">
        <x:v>25852232.049440257</x:v>
      </x:c>
      <x:c r="AC25" s="9" t="n">
        <x:v>63435136.745637774</x:v>
      </x:c>
      <x:c r="AD25" s="9" t="n">
        <x:v>2900991.312935164</x:v>
      </x:c>
      <x:c r="AE25" s="9" t="n">
        <x:v>3454318.125477099</x:v>
      </x:c>
      <x:c r="AF25" s="9" t="n">
        <x:v>25393786.27018381</x:v>
      </x:c>
      <x:c r="AG25" s="9" t="n">
        <x:v>1003457.058910256</x:v>
      </x:c>
      <x:c r="AH25" s="9" t="n">
        <x:v>407419.46948457</x:v>
      </x:c>
      <x:c r="AI25" s="9" t="n">
        <x:v>2584725.5626916816</x:v>
      </x:c>
      <x:c r="AJ25" s="9" t="n">
        <x:v>1386624.3318204915</x:v>
      </x:c>
      <x:c r="AK25" s="9" t="n">
        <x:v>2597575.993724952</x:v>
      </x:c>
      <x:c r="AL25" s="9" t="n">
        <x:v>133535.52300349827</x:v>
      </x:c>
      <x:c r="AM25" s="9" t="n">
        <x:v>74464.3658302664</x:v>
      </x:c>
      <x:c r="AN25" s="9" t="n">
        <x:v>331954.7188156344</x:v>
      </x:c>
      <x:c r="AO25" s="9" t="n">
        <x:v>545508.5931275694</x:v>
      </x:c>
      <x:c r="AP25" s="9" t="n">
        <x:v>60236.70653418264</x:v>
      </x:c>
      <x:c r="AQ25" s="9" t="n">
        <x:v>1805.6526593370345</x:v>
      </x:c>
      <x:c r="AR25" s="9" t="n">
        <x:v>18674.94269915124</x:v>
      </x:c>
      <x:c r="AS25" s="9" t="n">
        <x:v>1128052.795449896</x:v>
      </x:c>
      <x:c r="AT25" s="9" t="n">
        <x:v>403096.8289945765</x:v>
      </x:c>
      <x:c r="AU25" s="9" t="n">
        <x:v>1051014.7298999475</x:v>
      </x:c>
      <x:c r="AV25" s="9" t="n">
        <x:v>1575686.792071293</x:v>
      </x:c>
      <x:c r="AW25" s="9" t="n">
        <x:v>177676.7495509252</x:v>
      </x:c>
      <x:c r="AX25" s="9" t="n">
        <x:v>286343.85732620937</x:v>
      </x:c>
      <x:c r="AY25" s="9" t="n">
        <x:v>295308.73585989315</x:v>
      </x:c>
      <x:c r="AZ25" s="9" t="n">
        <x:v>3115657.482007753</x:v>
      </x:c>
      <x:c r="BA25" s="9" t="n">
        <x:v>97426.32779405115</x:v>
      </x:c>
      <x:c r="BB25" s="9" t="n">
        <x:v>395661.2067549705</x:v>
      </x:c>
      <x:c r="BC25" s="9" t="n">
        <x:v>837907.2241510474</x:v>
      </x:c>
      <x:c r="BD25" s="9" t="n">
        <x:v>817284.242758167</x:v>
      </x:c>
      <x:c r="BE25" s="9" t="n">
        <x:v>239675.35446954225</x:v>
      </x:c>
      <x:c r="BF25" s="9" t="n">
        <x:v>814369.0516834849</x:v>
      </x:c>
      <x:c r="BG25" s="9" t="n">
        <x:v>415147.5509790449</x:v>
      </x:c>
      <x:c r="BH25" s="9" t="n">
        <x:v>1160063.4115665215</x:v>
      </x:c>
      <x:c r="BI25" s="9" t="n">
        <x:v>171258.92346671983</x:v>
      </x:c>
      <x:c r="BJ25" s="9" t="n">
        <x:v>196089.31576034194</x:v>
      </x:c>
      <x:c r="BK25" s="9" t="n">
        <x:v>459935.5519537427</x:v>
      </x:c>
      <x:c r="BL25" s="9" t="n">
        <x:v>320355.02791619237</x:v>
      </x:c>
      <x:c r="BM25" s="9" t="n">
        <x:v>0</x:v>
      </x:c>
      <x:c r="BN25" s="9" t="n">
        <x:v>0</x:v>
      </x:c>
      <x:c r="BO25" s="9" t="n">
        <x:v>0</x:v>
      </x:c>
      <x:c r="BP25" s="9" t="n">
        <x:v>0</x:v>
      </x:c>
      <x:c r="BQ25" s="9" t="n">
        <x:v>0</x:v>
      </x:c>
      <x:c r="BR25" s="9" t="n">
        <x:v>0</x:v>
      </x:c>
      <x:c r="BS25" s="9" t="n">
        <x:v>481713488.0810448</x:v>
      </x:c>
      <x:c r="BT25" s="9" t="n">
        <x:v>691740.2526811475</x:v>
      </x:c>
      <x:c r="BU25" s="9" t="n">
        <x:v>761185616.0675256</x:v>
      </x:c>
      <x:c r="BV25" s="9" t="n">
        <x:v>605243067.3782684</x:v>
      </x:c>
      <x:c r="BW25" s="16" t="n">
        <x:f>SUM(B25:BV25)</x:f>
        <x:v>2337412973.375476</x:v>
      </x:c>
    </x:row>
    <x:row r="26" ht="22" customHeight="1">
      <x:c r="A26" s="2" t="str">
        <x:v>S20</x:v>
      </x:c>
      <x:c r="B26" s="9" t="n">
        <x:v>40213.09760912404</x:v>
      </x:c>
      <x:c r="C26" s="9" t="n">
        <x:v>12021.11867714614</x:v>
      </x:c>
      <x:c r="D26" s="9" t="n">
        <x:v>184679.16770741175</x:v>
      </x:c>
      <x:c r="E26" s="9" t="n">
        <x:v>508546.12250119634</x:v>
      </x:c>
      <x:c r="F26" s="9" t="n">
        <x:v>656873.4858153797</x:v>
      </x:c>
      <x:c r="G26" s="9" t="n">
        <x:v>603347.6417724959</x:v>
      </x:c>
      <x:c r="H26" s="9" t="n">
        <x:v>120691.75155687895</x:v>
      </x:c>
      <x:c r="I26" s="9" t="n">
        <x:v>259248.28863071545</x:v>
      </x:c>
      <x:c r="J26" s="9" t="n">
        <x:v>96212.85334617921</x:v>
      </x:c>
      <x:c r="K26" s="9" t="n">
        <x:v>190533.1479158636</x:v>
      </x:c>
      <x:c r="L26" s="9" t="n">
        <x:v>233792.118196439</x:v>
      </x:c>
      <x:c r="M26" s="9" t="n">
        <x:v>65670.09158896378</x:v>
      </x:c>
      <x:c r="N26" s="9" t="n">
        <x:v>610437.6911181137</x:v>
      </x:c>
      <x:c r="O26" s="9" t="n">
        <x:v>715460.810740559</x:v>
      </x:c>
      <x:c r="P26" s="9" t="n">
        <x:v>1267932.6192959577</x:v>
      </x:c>
      <x:c r="Q26" s="9" t="n">
        <x:v>2064661.8212156347</x:v>
      </x:c>
      <x:c r="R26" s="9" t="n">
        <x:v>2853309.1317399126</x:v>
      </x:c>
      <x:c r="S26" s="9" t="n">
        <x:v>1273967.2501481876</x:v>
      </x:c>
      <x:c r="T26" s="9" t="n">
        <x:v>3060291.5020237435</x:v>
      </x:c>
      <x:c r="U26" s="9" t="n">
        <x:v>2358900.7058385215</x:v>
      </x:c>
      <x:c r="V26" s="9" t="n">
        <x:v>24457827.686737232</x:v>
      </x:c>
      <x:c r="W26" s="9" t="n">
        <x:v>522571.74502378417</x:v>
      </x:c>
      <x:c r="X26" s="9" t="n">
        <x:v>3775475.5336446594</x:v>
      </x:c>
      <x:c r="Y26" s="9" t="n">
        <x:v>968766.1845387231</x:v>
      </x:c>
      <x:c r="Z26" s="9" t="n">
        <x:v>183944.35001540233</x:v>
      </x:c>
      <x:c r="AA26" s="9" t="n">
        <x:v>254794.4801279766</x:v>
      </x:c>
      <x:c r="AB26" s="9" t="n">
        <x:v>5353373.572065774</x:v>
      </x:c>
      <x:c r="AC26" s="9" t="n">
        <x:v>1971984.0288114499</x:v>
      </x:c>
      <x:c r="AD26" s="9" t="n">
        <x:v>810573.5655253337</x:v>
      </x:c>
      <x:c r="AE26" s="9" t="n">
        <x:v>832381.3037091211</x:v>
      </x:c>
      <x:c r="AF26" s="9" t="n">
        <x:v>720837.9720358516</x:v>
      </x:c>
      <x:c r="AG26" s="9" t="n">
        <x:v>966324.6000541445</x:v>
      </x:c>
      <x:c r="AH26" s="9" t="n">
        <x:v>5000426.766417982</x:v>
      </x:c>
      <x:c r="AI26" s="9" t="n">
        <x:v>1113250.481427498</x:v>
      </x:c>
      <x:c r="AJ26" s="9" t="n">
        <x:v>217965.49047921083</x:v>
      </x:c>
      <x:c r="AK26" s="9" t="n">
        <x:v>521310.4312513773</x:v>
      </x:c>
      <x:c r="AL26" s="9" t="n">
        <x:v>71888.2984611807</x:v>
      </x:c>
      <x:c r="AM26" s="9" t="n">
        <x:v>20348.31507139005</x:v>
      </x:c>
      <x:c r="AN26" s="9" t="n">
        <x:v>127030.29020305918</x:v>
      </x:c>
      <x:c r="AO26" s="9" t="n">
        <x:v>600564.2014769847</x:v>
      </x:c>
      <x:c r="AP26" s="9" t="n">
        <x:v>259026.01083993414</x:v>
      </x:c>
      <x:c r="AQ26" s="9" t="n">
        <x:v>5029.634546056619</x:v>
      </x:c>
      <x:c r="AR26" s="9" t="n">
        <x:v>57035.70058673143</x:v>
      </x:c>
      <x:c r="AS26" s="9" t="n">
        <x:v>730116.1808845155</x:v>
      </x:c>
      <x:c r="AT26" s="9" t="n">
        <x:v>27653.63725286329</x:v>
      </x:c>
      <x:c r="AU26" s="9" t="n">
        <x:v>249647.65681697865</x:v>
      </x:c>
      <x:c r="AV26" s="9" t="n">
        <x:v>1487939.1241357005</x:v>
      </x:c>
      <x:c r="AW26" s="9" t="n">
        <x:v>188642.49656740035</x:v>
      </x:c>
      <x:c r="AX26" s="9" t="n">
        <x:v>92263.98642898964</x:v>
      </x:c>
      <x:c r="AY26" s="9" t="n">
        <x:v>104421.34055565194</x:v>
      </x:c>
      <x:c r="AZ26" s="9" t="n">
        <x:v>122444.94675515217</x:v>
      </x:c>
      <x:c r="BA26" s="9" t="n">
        <x:v>15476.331417118028</x:v>
      </x:c>
      <x:c r="BB26" s="9" t="n">
        <x:v>41750.29551549966</x:v>
      </x:c>
      <x:c r="BC26" s="9" t="n">
        <x:v>202345.55553260876</x:v>
      </x:c>
      <x:c r="BD26" s="9" t="n">
        <x:v>480044.79994334554</x:v>
      </x:c>
      <x:c r="BE26" s="9" t="n">
        <x:v>137589.85298230723</x:v>
      </x:c>
      <x:c r="BF26" s="9" t="n">
        <x:v>688781.0240855125</x:v>
      </x:c>
      <x:c r="BG26" s="9" t="n">
        <x:v>16118.856763214611</x:v>
      </x:c>
      <x:c r="BH26" s="9" t="n">
        <x:v>623986.9530567048</x:v>
      </x:c>
      <x:c r="BI26" s="9" t="n">
        <x:v>77367.0221046814</x:v>
      </x:c>
      <x:c r="BJ26" s="9" t="n">
        <x:v>14052.302082746332</x:v>
      </x:c>
      <x:c r="BK26" s="9" t="n">
        <x:v>231252.00224699834</x:v>
      </x:c>
      <x:c r="BL26" s="9" t="n">
        <x:v>41528.42904593668</x:v>
      </x:c>
      <x:c r="BM26" s="9" t="n">
        <x:v>0</x:v>
      </x:c>
      <x:c r="BN26" s="9" t="n">
        <x:v>0</x:v>
      </x:c>
      <x:c r="BO26" s="9" t="n">
        <x:v>0</x:v>
      </x:c>
      <x:c r="BP26" s="9" t="n">
        <x:v>0</x:v>
      </x:c>
      <x:c r="BQ26" s="9" t="n">
        <x:v>0</x:v>
      </x:c>
      <x:c r="BR26" s="9" t="n">
        <x:v>0</x:v>
      </x:c>
      <x:c r="BS26" s="9" t="n">
        <x:v>32888486.229729094</x:v>
      </x:c>
      <x:c r="BT26" s="9" t="n">
        <x:v>1267624.933188923</x:v>
      </x:c>
      <x:c r="BU26" s="9" t="n">
        <x:v>358675557.9419376</x:v>
      </x:c>
      <x:c r="BV26" s="9" t="n">
        <x:v>142455699.61889547</x:v>
      </x:c>
      <x:c r="BW26" s="16" t="n">
        <x:f>SUM(B26:BV26)</x:f>
        <x:v>606850312.5784143</x:v>
      </x:c>
    </x:row>
    <x:row r="27" ht="22" customHeight="1">
      <x:c r="A27" s="2" t="str">
        <x:v>S21</x:v>
      </x:c>
      <x:c r="B27" s="9" t="n">
        <x:v>963008.2376266593</x:v>
      </x:c>
      <x:c r="C27" s="9" t="n">
        <x:v>18269.774456670177</x:v>
      </x:c>
      <x:c r="D27" s="9" t="n">
        <x:v>23559.339224005926</x:v>
      </x:c>
      <x:c r="E27" s="9" t="n">
        <x:v>462599.0578705556</x:v>
      </x:c>
      <x:c r="F27" s="9" t="n">
        <x:v>1879052.9515540597</x:v>
      </x:c>
      <x:c r="G27" s="9" t="n">
        <x:v>6911433.502015832</x:v>
      </x:c>
      <x:c r="H27" s="9" t="n">
        <x:v>1768886.2812668593</x:v>
      </x:c>
      <x:c r="I27" s="9" t="n">
        <x:v>744064.21100115</x:v>
      </x:c>
      <x:c r="J27" s="9" t="n">
        <x:v>366267.7973959134</x:v>
      </x:c>
      <x:c r="K27" s="9" t="n">
        <x:v>98583.70103501098</x:v>
      </x:c>
      <x:c r="L27" s="9" t="n">
        <x:v>1127163.2127207636</x:v>
      </x:c>
      <x:c r="M27" s="9" t="n">
        <x:v>1501241.2084230857</x:v>
      </x:c>
      <x:c r="N27" s="9" t="n">
        <x:v>2191574.526124095</x:v>
      </x:c>
      <x:c r="O27" s="9" t="n">
        <x:v>1395618.8776255003</x:v>
      </x:c>
      <x:c r="P27" s="9" t="n">
        <x:v>1288022.982066779</x:v>
      </x:c>
      <x:c r="Q27" s="9" t="n">
        <x:v>3853628.664507186</x:v>
      </x:c>
      <x:c r="R27" s="9" t="n">
        <x:v>525933.1689066561</x:v>
      </x:c>
      <x:c r="S27" s="9" t="n">
        <x:v>1944591.993148311</x:v>
      </x:c>
      <x:c r="T27" s="9" t="n">
        <x:v>2390787.093516659</x:v>
      </x:c>
      <x:c r="U27" s="9" t="n">
        <x:v>5112527.568208583</x:v>
      </x:c>
      <x:c r="V27" s="9" t="n">
        <x:v>978593.5650211878</x:v>
      </x:c>
      <x:c r="W27" s="9" t="n">
        <x:v>21914487.800205737</x:v>
      </x:c>
      <x:c r="X27" s="9" t="n">
        <x:v>959539.9159125512</x:v>
      </x:c>
      <x:c r="Y27" s="9" t="n">
        <x:v>1384229.598020248</x:v>
      </x:c>
      <x:c r="Z27" s="9" t="n">
        <x:v>581000.0900147554</x:v>
      </x:c>
      <x:c r="AA27" s="9" t="n">
        <x:v>1072034.6210302608</x:v>
      </x:c>
      <x:c r="AB27" s="9" t="n">
        <x:v>19666378.10691907</x:v>
      </x:c>
      <x:c r="AC27" s="9" t="n">
        <x:v>1459407.8511726393</x:v>
      </x:c>
      <x:c r="AD27" s="9" t="n">
        <x:v>1442810.2844314075</x:v>
      </x:c>
      <x:c r="AE27" s="9" t="n">
        <x:v>7320946.545714228</x:v>
      </x:c>
      <x:c r="AF27" s="9" t="n">
        <x:v>2701495.2170293713</x:v>
      </x:c>
      <x:c r="AG27" s="9" t="n">
        <x:v>195408.71615259434</x:v>
      </x:c>
      <x:c r="AH27" s="9" t="n">
        <x:v>116698.94470274335</x:v>
      </x:c>
      <x:c r="AI27" s="9" t="n">
        <x:v>1235472.182860867</x:v>
      </x:c>
      <x:c r="AJ27" s="9" t="n">
        <x:v>414678.19807468826</x:v>
      </x:c>
      <x:c r="AK27" s="9" t="n">
        <x:v>2850201.675800065</x:v>
      </x:c>
      <x:c r="AL27" s="9" t="n">
        <x:v>162847.68678991986</x:v>
      </x:c>
      <x:c r="AM27" s="9" t="n">
        <x:v>159365.17099198274</x:v>
      </x:c>
      <x:c r="AN27" s="9" t="n">
        <x:v>110505.61245872735</x:v>
      </x:c>
      <x:c r="AO27" s="9" t="n">
        <x:v>368511.65073855926</x:v>
      </x:c>
      <x:c r="AP27" s="9" t="n">
        <x:v>186677.88764225875</x:v>
      </x:c>
      <x:c r="AQ27" s="9" t="n">
        <x:v>4589.734588879207</x:v>
      </x:c>
      <x:c r="AR27" s="9" t="n">
        <x:v>141798.11797037773</x:v>
      </x:c>
      <x:c r="AS27" s="9" t="n">
        <x:v>1774862.7645714742</x:v>
      </x:c>
      <x:c r="AT27" s="9" t="n">
        <x:v>257982.53587101024</x:v>
      </x:c>
      <x:c r="AU27" s="9" t="n">
        <x:v>655436.7396067263</x:v>
      </x:c>
      <x:c r="AV27" s="9" t="n">
        <x:v>1762085.797865232</x:v>
      </x:c>
      <x:c r="AW27" s="9" t="n">
        <x:v>471019.336019521</x:v>
      </x:c>
      <x:c r="AX27" s="9" t="n">
        <x:v>867059.8314020743</x:v>
      </x:c>
      <x:c r="AY27" s="9" t="n">
        <x:v>888203.548205938</x:v>
      </x:c>
      <x:c r="AZ27" s="9" t="n">
        <x:v>619818.3823692062</x:v>
      </x:c>
      <x:c r="BA27" s="9" t="n">
        <x:v>143591.29874987926</x:v>
      </x:c>
      <x:c r="BB27" s="9" t="n">
        <x:v>240034.77659962082</x:v>
      </x:c>
      <x:c r="BC27" s="9" t="n">
        <x:v>815345.7860676701</x:v>
      </x:c>
      <x:c r="BD27" s="9" t="n">
        <x:v>2591623.3317419393</x:v>
      </x:c>
      <x:c r="BE27" s="9" t="n">
        <x:v>1875669.0709492504</x:v>
      </x:c>
      <x:c r="BF27" s="9" t="n">
        <x:v>44049084.44942628</x:v>
      </x:c>
      <x:c r="BG27" s="9" t="n">
        <x:v>366438.16087297036</x:v>
      </x:c>
      <x:c r="BH27" s="9" t="n">
        <x:v>406883.15101202164</x:v>
      </x:c>
      <x:c r="BI27" s="9" t="n">
        <x:v>316492.8943556271</x:v>
      </x:c>
      <x:c r="BJ27" s="9" t="n">
        <x:v>191799.3315012248</x:v>
      </x:c>
      <x:c r="BK27" s="9" t="n">
        <x:v>415400.2170039994</x:v>
      </x:c>
      <x:c r="BL27" s="9" t="n">
        <x:v>432768.0335859653</x:v>
      </x:c>
      <x:c r="BM27" s="9" t="n">
        <x:v>0</x:v>
      </x:c>
      <x:c r="BN27" s="9" t="n">
        <x:v>0</x:v>
      </x:c>
      <x:c r="BO27" s="9" t="n">
        <x:v>0</x:v>
      </x:c>
      <x:c r="BP27" s="9" t="n">
        <x:v>0</x:v>
      </x:c>
      <x:c r="BQ27" s="9" t="n">
        <x:v>0</x:v>
      </x:c>
      <x:c r="BR27" s="9" t="n">
        <x:v>0</x:v>
      </x:c>
      <x:c r="BS27" s="9" t="n">
        <x:v>360862411.88623905</x:v>
      </x:c>
      <x:c r="BT27" s="9" t="n">
        <x:v>5614516.245713606</x:v>
      </x:c>
      <x:c r="BU27" s="9" t="n">
        <x:v>47841799.395284116</x:v>
      </x:c>
      <x:c r="BV27" s="9" t="n">
        <x:v>173715389.72961074</x:v>
      </x:c>
      <x:c r="BW27" s="16" t="n">
        <x:f>SUM(B27:BV27)</x:f>
        <x:v>747170210.0175626</x:v>
      </x:c>
    </x:row>
    <x:row r="28" ht="22" customHeight="1">
      <x:c r="A28" s="2" t="str">
        <x:v>S22</x:v>
      </x:c>
      <x:c r="B28" s="9" t="n">
        <x:v>531859.5504367882</x:v>
      </x:c>
      <x:c r="C28" s="9" t="n">
        <x:v>17590.40493077431</x:v>
      </x:c>
      <x:c r="D28" s="9" t="n">
        <x:v>1503571.3214745354</x:v>
      </x:c>
      <x:c r="E28" s="9" t="n">
        <x:v>2264341.7169728964</x:v>
      </x:c>
      <x:c r="F28" s="9" t="n">
        <x:v>2589544.971050294</x:v>
      </x:c>
      <x:c r="G28" s="9" t="n">
        <x:v>2330944.276575115</x:v>
      </x:c>
      <x:c r="H28" s="9" t="n">
        <x:v>391720.9508773006</x:v>
      </x:c>
      <x:c r="I28" s="9" t="n">
        <x:v>1006533.7008525874</x:v>
      </x:c>
      <x:c r="J28" s="9" t="n">
        <x:v>189435.74274181458</x:v>
      </x:c>
      <x:c r="K28" s="9" t="n">
        <x:v>1193138.483729979</x:v>
      </x:c>
      <x:c r="L28" s="9" t="n">
        <x:v>1686141.9936854239</x:v>
      </x:c>
      <x:c r="M28" s="9" t="n">
        <x:v>173971.54742347266</x:v>
      </x:c>
      <x:c r="N28" s="9" t="n">
        <x:v>1900140.62823505</x:v>
      </x:c>
      <x:c r="O28" s="9" t="n">
        <x:v>3218957.48935921</x:v>
      </x:c>
      <x:c r="P28" s="9" t="n">
        <x:v>2874565.839062896</x:v>
      </x:c>
      <x:c r="Q28" s="9" t="n">
        <x:v>3493123.3438562294</x:v>
      </x:c>
      <x:c r="R28" s="9" t="n">
        <x:v>959494.9062929896</x:v>
      </x:c>
      <x:c r="S28" s="9" t="n">
        <x:v>3133680.7621859703</x:v>
      </x:c>
      <x:c r="T28" s="9" t="n">
        <x:v>6560184.083445033</x:v>
      </x:c>
      <x:c r="U28" s="9" t="n">
        <x:v>5329424.142478888</x:v>
      </x:c>
      <x:c r="V28" s="9" t="n">
        <x:v>10759298.743783915</x:v>
      </x:c>
      <x:c r="W28" s="9" t="n">
        <x:v>729486.7068332379</x:v>
      </x:c>
      <x:c r="X28" s="9" t="n">
        <x:v>13879597.02986477</x:v>
      </x:c>
      <x:c r="Y28" s="9" t="n">
        <x:v>4505946.34465286</x:v>
      </x:c>
      <x:c r="Z28" s="9" t="n">
        <x:v>339344.2335771162</x:v>
      </x:c>
      <x:c r="AA28" s="9" t="n">
        <x:v>578362.2129160311</x:v>
      </x:c>
      <x:c r="AB28" s="9" t="n">
        <x:v>15068766.638665687</x:v>
      </x:c>
      <x:c r="AC28" s="9" t="n">
        <x:v>896919.0783656996</x:v>
      </x:c>
      <x:c r="AD28" s="9" t="n">
        <x:v>4753522.49115803</x:v>
      </x:c>
      <x:c r="AE28" s="9" t="n">
        <x:v>1124955.3431142059</x:v>
      </x:c>
      <x:c r="AF28" s="9" t="n">
        <x:v>2471135.169141408</x:v>
      </x:c>
      <x:c r="AG28" s="9" t="n">
        <x:v>2929486.911752417</x:v>
      </x:c>
      <x:c r="AH28" s="9" t="n">
        <x:v>41879951.609831154</x:v>
      </x:c>
      <x:c r="AI28" s="9" t="n">
        <x:v>1635895.229810351</x:v>
      </x:c>
      <x:c r="AJ28" s="9" t="n">
        <x:v>133954.99874850115</x:v>
      </x:c>
      <x:c r="AK28" s="9" t="n">
        <x:v>1520713.1345476166</x:v>
      </x:c>
      <x:c r="AL28" s="9" t="n">
        <x:v>27436.15163186867</x:v>
      </x:c>
      <x:c r="AM28" s="9" t="n">
        <x:v>43863.029835128014</x:v>
      </x:c>
      <x:c r="AN28" s="9" t="n">
        <x:v>174659.21774056178</x:v>
      </x:c>
      <x:c r="AO28" s="9" t="n">
        <x:v>338772.4513094685</x:v>
      </x:c>
      <x:c r="AP28" s="9" t="n">
        <x:v>2435621.4028744902</x:v>
      </x:c>
      <x:c r="AQ28" s="9" t="n">
        <x:v>42971.39757225534</x:v>
      </x:c>
      <x:c r="AR28" s="9" t="n">
        <x:v>559347.1517343333</x:v>
      </x:c>
      <x:c r="AS28" s="9" t="n">
        <x:v>711698.394454005</x:v>
      </x:c>
      <x:c r="AT28" s="9" t="n">
        <x:v>102210.37876501355</x:v>
      </x:c>
      <x:c r="AU28" s="9" t="n">
        <x:v>285687.22196101287</x:v>
      </x:c>
      <x:c r="AV28" s="9" t="n">
        <x:v>1266676.3151795056</x:v>
      </x:c>
      <x:c r="AW28" s="9" t="n">
        <x:v>79957.3949166603</x:v>
      </x:c>
      <x:c r="AX28" s="9" t="n">
        <x:v>92815.33860332565</x:v>
      </x:c>
      <x:c r="AY28" s="9" t="n">
        <x:v>126384.16324940433</x:v>
      </x:c>
      <x:c r="AZ28" s="9" t="n">
        <x:v>388876.2019214277</x:v>
      </x:c>
      <x:c r="BA28" s="9" t="n">
        <x:v>31675.071436538983</x:v>
      </x:c>
      <x:c r="BB28" s="9" t="n">
        <x:v>97836.81035929541</x:v>
      </x:c>
      <x:c r="BC28" s="9" t="n">
        <x:v>329423.60569178197</x:v>
      </x:c>
      <x:c r="BD28" s="9" t="n">
        <x:v>655012.878960695</x:v>
      </x:c>
      <x:c r="BE28" s="9" t="n">
        <x:v>725042.6788305442</x:v>
      </x:c>
      <x:c r="BF28" s="9" t="n">
        <x:v>5247315.246868325</x:v>
      </x:c>
      <x:c r="BG28" s="9" t="n">
        <x:v>29009.54786727076</x:v>
      </x:c>
      <x:c r="BH28" s="9" t="n">
        <x:v>79390.77491463344</x:v>
      </x:c>
      <x:c r="BI28" s="9" t="n">
        <x:v>201022.04324112696</x:v>
      </x:c>
      <x:c r="BJ28" s="9" t="n">
        <x:v>11869.094948153166</x:v>
      </x:c>
      <x:c r="BK28" s="9" t="n">
        <x:v>167605.59445322788</x:v>
      </x:c>
      <x:c r="BL28" s="9" t="n">
        <x:v>108689.16660900484</x:v>
      </x:c>
      <x:c r="BM28" s="9" t="n">
        <x:v>0</x:v>
      </x:c>
      <x:c r="BN28" s="9" t="n">
        <x:v>0</x:v>
      </x:c>
      <x:c r="BO28" s="9" t="n">
        <x:v>0</x:v>
      </x:c>
      <x:c r="BP28" s="9" t="n">
        <x:v>0</x:v>
      </x:c>
      <x:c r="BQ28" s="9" t="n">
        <x:v>0</x:v>
      </x:c>
      <x:c r="BR28" s="9" t="n">
        <x:v>0</x:v>
      </x:c>
      <x:c r="BS28" s="9" t="n">
        <x:v>7165160.252301013</x:v>
      </x:c>
      <x:c r="BT28" s="9" t="n">
        <x:v>86315.83842793072</x:v>
      </x:c>
      <x:c r="BU28" s="9" t="n">
        <x:v>136619178.15658483</x:v>
      </x:c>
      <x:c r="BV28" s="9" t="n">
        <x:v>53391059.580532216</x:v>
      </x:c>
      <x:c r="BW28" s="16" t="n">
        <x:f>SUM(B28:BV28)</x:f>
        <x:v>356178284.28620523</x:v>
      </x:c>
    </x:row>
    <x:row r="29" ht="22" customHeight="1">
      <x:c r="A29" s="2" t="str">
        <x:v>S23</x:v>
      </x:c>
      <x:c r="B29" s="9" t="n">
        <x:v>17581300.00051299</x:v>
      </x:c>
      <x:c r="C29" s="9" t="n">
        <x:v>373962.4319372582</x:v>
      </x:c>
      <x:c r="D29" s="9" t="n">
        <x:v>1582983.020713004</x:v>
      </x:c>
      <x:c r="E29" s="9" t="n">
        <x:v>25643355.370576486</x:v>
      </x:c>
      <x:c r="F29" s="9" t="n">
        <x:v>45596849.854914345</x:v>
      </x:c>
      <x:c r="G29" s="9" t="n">
        <x:v>75056524.50226359</x:v>
      </x:c>
      <x:c r="H29" s="9" t="n">
        <x:v>7816696.917538278</x:v>
      </x:c>
      <x:c r="I29" s="9" t="n">
        <x:v>14777131.636898553</x:v>
      </x:c>
      <x:c r="J29" s="9" t="n">
        <x:v>3423177.9019252458</x:v>
      </x:c>
      <x:c r="K29" s="9" t="n">
        <x:v>13705969.577248693</x:v>
      </x:c>
      <x:c r="L29" s="9" t="n">
        <x:v>11472635.470629796</x:v>
      </x:c>
      <x:c r="M29" s="9" t="n">
        <x:v>1973753.0760370402</x:v>
      </x:c>
      <x:c r="N29" s="9" t="n">
        <x:v>31821098.014537282</x:v>
      </x:c>
      <x:c r="O29" s="9" t="n">
        <x:v>64356554.53509177</x:v>
      </x:c>
      <x:c r="P29" s="9" t="n">
        <x:v>69939341.8350684</x:v>
      </x:c>
      <x:c r="Q29" s="9" t="n">
        <x:v>23405547.890108194</x:v>
      </x:c>
      <x:c r="R29" s="9" t="n">
        <x:v>6711197.471757163</x:v>
      </x:c>
      <x:c r="S29" s="9" t="n">
        <x:v>9858341.730395265</x:v>
      </x:c>
      <x:c r="T29" s="9" t="n">
        <x:v>13123126.464311216</x:v>
      </x:c>
      <x:c r="U29" s="9" t="n">
        <x:v>23208115.17514985</x:v>
      </x:c>
      <x:c r="V29" s="9" t="n">
        <x:v>5880890.107482194</x:v>
      </x:c>
      <x:c r="W29" s="9" t="n">
        <x:v>6589348.695421005</x:v>
      </x:c>
      <x:c r="X29" s="9" t="n">
        <x:v>4170635.249066617</x:v>
      </x:c>
      <x:c r="Y29" s="9" t="n">
        <x:v>1241028026.0685222</x:v>
      </x:c>
      <x:c r="Z29" s="9" t="n">
        <x:v>11220221.48883749</x:v>
      </x:c>
      <x:c r="AA29" s="9" t="n">
        <x:v>6420155.665563656</x:v>
      </x:c>
      <x:c r="AB29" s="9" t="n">
        <x:v>112294274.48097277</x:v>
      </x:c>
      <x:c r="AC29" s="9" t="n">
        <x:v>2026042.1731940268</x:v>
      </x:c>
      <x:c r="AD29" s="9" t="n">
        <x:v>21596231.926761307</x:v>
      </x:c>
      <x:c r="AE29" s="9" t="n">
        <x:v>47048157.84351699</x:v>
      </x:c>
      <x:c r="AF29" s="9" t="n">
        <x:v>19406716.01731289</x:v>
      </x:c>
      <x:c r="AG29" s="9" t="n">
        <x:v>1063052.1564198346</x:v>
      </x:c>
      <x:c r="AH29" s="9" t="n">
        <x:v>680746.0175552367</x:v>
      </x:c>
      <x:c r="AI29" s="9" t="n">
        <x:v>12912076.770389134</x:v>
      </x:c>
      <x:c r="AJ29" s="9" t="n">
        <x:v>1820873.3125658503</x:v>
      </x:c>
      <x:c r="AK29" s="9" t="n">
        <x:v>35994306.787418045</x:v>
      </x:c>
      <x:c r="AL29" s="9" t="n">
        <x:v>628042.4051972663</x:v>
      </x:c>
      <x:c r="AM29" s="9" t="n">
        <x:v>472785.30304083996</x:v>
      </x:c>
      <x:c r="AN29" s="9" t="n">
        <x:v>12318151.36738071</x:v>
      </x:c>
      <x:c r="AO29" s="9" t="n">
        <x:v>1590627.8922768796</x:v>
      </x:c>
      <x:c r="AP29" s="9" t="n">
        <x:v>19492780.460964993</x:v>
      </x:c>
      <x:c r="AQ29" s="9" t="n">
        <x:v>26003.659077928296</x:v>
      </x:c>
      <x:c r="AR29" s="9" t="n">
        <x:v>1545494.9750221004</x:v>
      </x:c>
      <x:c r="AS29" s="9" t="n">
        <x:v>237860984.00493312</x:v>
      </x:c>
      <x:c r="AT29" s="9" t="n">
        <x:v>70921.62538327997</x:v>
      </x:c>
      <x:c r="AU29" s="9" t="n">
        <x:v>5255050.633499825</x:v>
      </x:c>
      <x:c r="AV29" s="9" t="n">
        <x:v>8816682.43938724</x:v>
      </x:c>
      <x:c r="AW29" s="9" t="n">
        <x:v>304838.63828038657</x:v>
      </x:c>
      <x:c r="AX29" s="9" t="n">
        <x:v>859194.9782434793</x:v>
      </x:c>
      <x:c r="AY29" s="9" t="n">
        <x:v>414156.45490599144</x:v>
      </x:c>
      <x:c r="AZ29" s="9" t="n">
        <x:v>628444.8621495891</x:v>
      </x:c>
      <x:c r="BA29" s="9" t="n">
        <x:v>360734.41638303414</x:v>
      </x:c>
      <x:c r="BB29" s="9" t="n">
        <x:v>898185.7137878758</x:v>
      </x:c>
      <x:c r="BC29" s="9" t="n">
        <x:v>7277445.241401291</x:v>
      </x:c>
      <x:c r="BD29" s="9" t="n">
        <x:v>46593704.517960206</x:v>
      </x:c>
      <x:c r="BE29" s="9" t="n">
        <x:v>22323471.751613896</x:v>
      </x:c>
      <x:c r="BF29" s="9" t="n">
        <x:v>22675684.283080265</x:v>
      </x:c>
      <x:c r="BG29" s="9" t="n">
        <x:v>1055899.558637946</x:v>
      </x:c>
      <x:c r="BH29" s="9" t="n">
        <x:v>3335040.7470215</x:v>
      </x:c>
      <x:c r="BI29" s="9" t="n">
        <x:v>3299842.854436525</x:v>
      </x:c>
      <x:c r="BJ29" s="9" t="n">
        <x:v>2468247.711515117</x:v>
      </x:c>
      <x:c r="BK29" s="9" t="n">
        <x:v>438030.4247490782</x:v>
      </x:c>
      <x:c r="BL29" s="9" t="n">
        <x:v>1786882.2879947058</x:v>
      </x:c>
      <x:c r="BM29" s="9" t="n">
        <x:v>0</x:v>
      </x:c>
      <x:c r="BN29" s="9" t="n">
        <x:v>0</x:v>
      </x:c>
      <x:c r="BO29" s="9" t="n">
        <x:v>0</x:v>
      </x:c>
      <x:c r="BP29" s="9" t="n">
        <x:v>0</x:v>
      </x:c>
      <x:c r="BQ29" s="9" t="n">
        <x:v>0</x:v>
      </x:c>
      <x:c r="BR29" s="9" t="n">
        <x:v>0</x:v>
      </x:c>
      <x:c r="BS29" s="9" t="n">
        <x:v>295071890.0630727</x:v>
      </x:c>
      <x:c r="BT29" s="9" t="n">
        <x:v>57718.522667158126</x:v>
      </x:c>
      <x:c r="BU29" s="9" t="n">
        <x:v>28136852.864115026</x:v>
      </x:c>
      <x:c r="BV29" s="9" t="n">
        <x:v>7536504.002004385</x:v>
      </x:c>
      <x:c r="BW29" s="16" t="n">
        <x:f>SUM(B29:BV29)</x:f>
        <x:v>2725179712.2987976</x:v>
      </x:c>
    </x:row>
    <x:row r="30" ht="22" customHeight="1">
      <x:c r="A30" s="2" t="str">
        <x:v>S24</x:v>
      </x:c>
      <x:c r="B30" s="9" t="n">
        <x:v>1309709.9325865412</x:v>
      </x:c>
      <x:c r="C30" s="9" t="n">
        <x:v>156805.61750927372</x:v>
      </x:c>
      <x:c r="D30" s="9" t="n">
        <x:v>9858.950185223404</x:v>
      </x:c>
      <x:c r="E30" s="9" t="n">
        <x:v>117348.70563250215</x:v>
      </x:c>
      <x:c r="F30" s="9" t="n">
        <x:v>272754.2792635424</x:v>
      </x:c>
      <x:c r="G30" s="9" t="n">
        <x:v>443219.3867021686</x:v>
      </x:c>
      <x:c r="H30" s="9" t="n">
        <x:v>41747.45080045226</x:v>
      </x:c>
      <x:c r="I30" s="9" t="n">
        <x:v>89820.58789159027</x:v>
      </x:c>
      <x:c r="J30" s="9" t="n">
        <x:v>22131.598303506922</x:v>
      </x:c>
      <x:c r="K30" s="9" t="n">
        <x:v>53389.795988393074</x:v>
      </x:c>
      <x:c r="L30" s="9" t="n">
        <x:v>84441.1290076411</x:v>
      </x:c>
      <x:c r="M30" s="9" t="n">
        <x:v>13423.824894880276</x:v>
      </x:c>
      <x:c r="N30" s="9" t="n">
        <x:v>191462.11736427897</x:v>
      </x:c>
      <x:c r="O30" s="9" t="n">
        <x:v>362013.86555166653</x:v>
      </x:c>
      <x:c r="P30" s="9" t="n">
        <x:v>343299.85403626837</x:v>
      </x:c>
      <x:c r="Q30" s="9" t="n">
        <x:v>145179.14105918622</x:v>
      </x:c>
      <x:c r="R30" s="9" t="n">
        <x:v>24619.057085539105</x:v>
      </x:c>
      <x:c r="S30" s="9" t="n">
        <x:v>58436.19488640839</x:v>
      </x:c>
      <x:c r="T30" s="9" t="n">
        <x:v>87584.56278871435</x:v>
      </x:c>
      <x:c r="U30" s="9" t="n">
        <x:v>162465.26862627038</x:v>
      </x:c>
      <x:c r="V30" s="9" t="n">
        <x:v>30382.292840101454</x:v>
      </x:c>
      <x:c r="W30" s="9" t="n">
        <x:v>40308.98481866884</x:v>
      </x:c>
      <x:c r="X30" s="9" t="n">
        <x:v>33920.37707472267</x:v>
      </x:c>
      <x:c r="Y30" s="9" t="n">
        <x:v>5434651.861638784</x:v>
      </x:c>
      <x:c r="Z30" s="9" t="n">
        <x:v>170427.94611264864</x:v>
      </x:c>
      <x:c r="AA30" s="9" t="n">
        <x:v>230060.8049778295</x:v>
      </x:c>
      <x:c r="AB30" s="9" t="n">
        <x:v>614806.8197939452</x:v>
      </x:c>
      <x:c r="AC30" s="9" t="n">
        <x:v>12843.71093156667</x:v>
      </x:c>
      <x:c r="AD30" s="9" t="n">
        <x:v>835440.2849722146</x:v>
      </x:c>
      <x:c r="AE30" s="9" t="n">
        <x:v>219267.52293173262</x:v>
      </x:c>
      <x:c r="AF30" s="9" t="n">
        <x:v>103693.54432671104</x:v>
      </x:c>
      <x:c r="AG30" s="9" t="n">
        <x:v>9395.509830175824</x:v>
      </x:c>
      <x:c r="AH30" s="9" t="n">
        <x:v>2060.408977814554</x:v>
      </x:c>
      <x:c r="AI30" s="9" t="n">
        <x:v>60958.68065378652</x:v>
      </x:c>
      <x:c r="AJ30" s="9" t="n">
        <x:v>8359.744496319448</x:v>
      </x:c>
      <x:c r="AK30" s="9" t="n">
        <x:v>180930.5426220268</x:v>
      </x:c>
      <x:c r="AL30" s="9" t="n">
        <x:v>2554.499779900925</x:v>
      </x:c>
      <x:c r="AM30" s="9" t="n">
        <x:v>3454.5119976320784</x:v>
      </x:c>
      <x:c r="AN30" s="9" t="n">
        <x:v>52893.250998113166</x:v>
      </x:c>
      <x:c r="AO30" s="9" t="n">
        <x:v>5538.103040919016</x:v>
      </x:c>
      <x:c r="AP30" s="9" t="n">
        <x:v>234687.47830296456</x:v>
      </x:c>
      <x:c r="AQ30" s="9" t="n">
        <x:v>8375.667897877922</x:v>
      </x:c>
      <x:c r="AR30" s="9" t="n">
        <x:v>41273.57306821795</x:v>
      </x:c>
      <x:c r="AS30" s="9" t="n">
        <x:v>1064937.6978448874</x:v>
      </x:c>
      <x:c r="AT30" s="9" t="n">
        <x:v>4708.310155621618</x:v>
      </x:c>
      <x:c r="AU30" s="9" t="n">
        <x:v>23652.056779957184</x:v>
      </x:c>
      <x:c r="AV30" s="9" t="n">
        <x:v>45821.54273520475</x:v>
      </x:c>
      <x:c r="AW30" s="9" t="n">
        <x:v>1272.7157807256995</x:v>
      </x:c>
      <x:c r="AX30" s="9" t="n">
        <x:v>3842.595871417845</x:v>
      </x:c>
      <x:c r="AY30" s="9" t="n">
        <x:v>2198.9685837647858</x:v>
      </x:c>
      <x:c r="AZ30" s="9" t="n">
        <x:v>3257.0389030605306</x:v>
      </x:c>
      <x:c r="BA30" s="9" t="n">
        <x:v>1707.1154817755448</x:v>
      </x:c>
      <x:c r="BB30" s="9" t="n">
        <x:v>4423.083249392127</x:v>
      </x:c>
      <x:c r="BC30" s="9" t="n">
        <x:v>66944.19863841582</x:v>
      </x:c>
      <x:c r="BD30" s="9" t="n">
        <x:v>1356980.9834572787</x:v>
      </x:c>
      <x:c r="BE30" s="9" t="n">
        <x:v>555521.4675365593</x:v>
      </x:c>
      <x:c r="BF30" s="9" t="n">
        <x:v>780429.6267549153</x:v>
      </x:c>
      <x:c r="BG30" s="9" t="n">
        <x:v>44165.8378263589</x:v>
      </x:c>
      <x:c r="BH30" s="9" t="n">
        <x:v>14373.042870035031</x:v>
      </x:c>
      <x:c r="BI30" s="9" t="n">
        <x:v>79438.89771882376</x:v>
      </x:c>
      <x:c r="BJ30" s="9" t="n">
        <x:v>10793.41630069644</x:v>
      </x:c>
      <x:c r="BK30" s="9" t="n">
        <x:v>1346.7636298073296</x:v>
      </x:c>
      <x:c r="BL30" s="9" t="n">
        <x:v>10295.584460456412</x:v>
      </x:c>
      <x:c r="BM30" s="9" t="n">
        <x:v>0</x:v>
      </x:c>
      <x:c r="BN30" s="9" t="n">
        <x:v>0</x:v>
      </x:c>
      <x:c r="BO30" s="9" t="n">
        <x:v>0</x:v>
      </x:c>
      <x:c r="BP30" s="9" t="n">
        <x:v>0</x:v>
      </x:c>
      <x:c r="BQ30" s="9" t="n">
        <x:v>0</x:v>
      </x:c>
      <x:c r="BR30" s="9" t="n">
        <x:v>0</x:v>
      </x:c>
      <x:c r="BS30" s="9" t="n">
        <x:v>35767315.238206245</x:v>
      </x:c>
      <x:c r="BT30" s="9" t="n">
        <x:v>32930641.77163868</x:v>
      </x:c>
      <x:c r="BU30" s="9" t="n">
        <x:v>47132.38744431601</x:v>
      </x:c>
      <x:c r="BV30" s="9" t="n">
        <x:v>59091.187871994654</x:v>
      </x:c>
      <x:c r="BW30" s="16" t="n">
        <x:f>SUM(B30:BV30)</x:f>
        <x:v>85206288.97198911</x:v>
      </x:c>
    </x:row>
    <x:row r="31" ht="22" customHeight="1">
      <x:c r="A31" s="2" t="str">
        <x:v>S25</x:v>
      </x:c>
      <x:c r="B31" s="9" t="n">
        <x:v>1310319.3113242171</x:v>
      </x:c>
      <x:c r="C31" s="9" t="n">
        <x:v>11225.693137589436</x:v>
      </x:c>
      <x:c r="D31" s="9" t="n">
        <x:v>17422.180916344743</x:v>
      </x:c>
      <x:c r="E31" s="9" t="n">
        <x:v>916236.4736333606</x:v>
      </x:c>
      <x:c r="F31" s="9" t="n">
        <x:v>2709104.1841664277</x:v>
      </x:c>
      <x:c r="G31" s="9" t="n">
        <x:v>5753604.3387018945</x:v>
      </x:c>
      <x:c r="H31" s="9" t="n">
        <x:v>1096335.4980396987</x:v>
      </x:c>
      <x:c r="I31" s="9" t="n">
        <x:v>12208939.490869591</x:v>
      </x:c>
      <x:c r="J31" s="9" t="n">
        <x:v>237769.42054596898</x:v>
      </x:c>
      <x:c r="K31" s="9" t="n">
        <x:v>1262568.7074598516</x:v>
      </x:c>
      <x:c r="L31" s="9" t="n">
        <x:v>5983897.18423477</x:v>
      </x:c>
      <x:c r="M31" s="9" t="n">
        <x:v>321587.67919015756</x:v>
      </x:c>
      <x:c r="N31" s="9" t="n">
        <x:v>11889170.824692464</x:v>
      </x:c>
      <x:c r="O31" s="9" t="n">
        <x:v>4655402.557229994</x:v>
      </x:c>
      <x:c r="P31" s="9" t="n">
        <x:v>226975053.1965094</x:v>
      </x:c>
      <x:c r="Q31" s="9" t="n">
        <x:v>7438741.6935994895</x:v>
      </x:c>
      <x:c r="R31" s="9" t="n">
        <x:v>605730.496094732</x:v>
      </x:c>
      <x:c r="S31" s="9" t="n">
        <x:v>4495027.618068543</x:v>
      </x:c>
      <x:c r="T31" s="9" t="n">
        <x:v>4002520.0826819385</x:v>
      </x:c>
      <x:c r="U31" s="9" t="n">
        <x:v>4827305.352798572</x:v>
      </x:c>
      <x:c r="V31" s="9" t="n">
        <x:v>754773.337136648</x:v>
      </x:c>
      <x:c r="W31" s="9" t="n">
        <x:v>1445399.231186076</x:v>
      </x:c>
      <x:c r="X31" s="9" t="n">
        <x:v>741250.4449205198</x:v>
      </x:c>
      <x:c r="Y31" s="9" t="n">
        <x:v>7564674.199787111</x:v>
      </x:c>
      <x:c r="Z31" s="9" t="n">
        <x:v>1773584.407715735</x:v>
      </x:c>
      <x:c r="AA31" s="9" t="n">
        <x:v>48565260.8649791</x:v>
      </x:c>
      <x:c r="AB31" s="9" t="n">
        <x:v>17917602.88043007</x:v>
      </x:c>
      <x:c r="AC31" s="9" t="n">
        <x:v>1284748.9688850676</x:v>
      </x:c>
      <x:c r="AD31" s="9" t="n">
        <x:v>2543724.138034299</x:v>
      </x:c>
      <x:c r="AE31" s="9" t="n">
        <x:v>960764.8178371415</x:v>
      </x:c>
      <x:c r="AF31" s="9" t="n">
        <x:v>5689022.310890307</x:v>
      </x:c>
      <x:c r="AG31" s="9" t="n">
        <x:v>204433.65612018012</x:v>
      </x:c>
      <x:c r="AH31" s="9" t="n">
        <x:v>574972.5034833108</x:v>
      </x:c>
      <x:c r="AI31" s="9" t="n">
        <x:v>1376389.6553971462</x:v>
      </x:c>
      <x:c r="AJ31" s="9" t="n">
        <x:v>164181.59697223137</x:v>
      </x:c>
      <x:c r="AK31" s="9" t="n">
        <x:v>1646438.1193142699</x:v>
      </x:c>
      <x:c r="AL31" s="9" t="n">
        <x:v>25848.625136314757</x:v>
      </x:c>
      <x:c r="AM31" s="9" t="n">
        <x:v>36753.84045521544</x:v>
      </x:c>
      <x:c r="AN31" s="9" t="n">
        <x:v>105815.55793552307</x:v>
      </x:c>
      <x:c r="AO31" s="9" t="n">
        <x:v>110620.84780933455</x:v>
      </x:c>
      <x:c r="AP31" s="9" t="n">
        <x:v>497458.8126227255</x:v>
      </x:c>
      <x:c r="AQ31" s="9" t="n">
        <x:v>214194.81518048816</x:v>
      </x:c>
      <x:c r="AR31" s="9" t="n">
        <x:v>1533092.8869239285</x:v>
      </x:c>
      <x:c r="AS31" s="9" t="n">
        <x:v>2281757.3344478225</x:v>
      </x:c>
      <x:c r="AT31" s="9" t="n">
        <x:v>634358.7172460489</x:v>
      </x:c>
      <x:c r="AU31" s="9" t="n">
        <x:v>247962.08248176</x:v>
      </x:c>
      <x:c r="AV31" s="9" t="n">
        <x:v>864365.6655733144</x:v>
      </x:c>
      <x:c r="AW31" s="9" t="n">
        <x:v>22717.123085484214</x:v>
      </x:c>
      <x:c r="AX31" s="9" t="n">
        <x:v>98013.8085895755</x:v>
      </x:c>
      <x:c r="AY31" s="9" t="n">
        <x:v>99347.47834063391</x:v>
      </x:c>
      <x:c r="AZ31" s="9" t="n">
        <x:v>1038506.9300617778</x:v>
      </x:c>
      <x:c r="BA31" s="9" t="n">
        <x:v>236056.58371302663</x:v>
      </x:c>
      <x:c r="BB31" s="9" t="n">
        <x:v>195209.974660992</x:v>
      </x:c>
      <x:c r="BC31" s="9" t="n">
        <x:v>937213.1032514701</x:v>
      </x:c>
      <x:c r="BD31" s="9" t="n">
        <x:v>666213.0518122702</x:v>
      </x:c>
      <x:c r="BE31" s="9" t="n">
        <x:v>212218.6797457792</x:v>
      </x:c>
      <x:c r="BF31" s="9" t="n">
        <x:v>2532625.364462975</x:v>
      </x:c>
      <x:c r="BG31" s="9" t="n">
        <x:v>34494.25282358881</x:v>
      </x:c>
      <x:c r="BH31" s="9" t="n">
        <x:v>55674.022512727825</x:v>
      </x:c>
      <x:c r="BI31" s="9" t="n">
        <x:v>106979.95195537544</x:v>
      </x:c>
      <x:c r="BJ31" s="9" t="n">
        <x:v>29321.82130014767</x:v>
      </x:c>
      <x:c r="BK31" s="9" t="n">
        <x:v>62705.02742728846</x:v>
      </x:c>
      <x:c r="BL31" s="9" t="n">
        <x:v>82096.35090625384</x:v>
      </x:c>
      <x:c r="BM31" s="9" t="n">
        <x:v>0</x:v>
      </x:c>
      <x:c r="BN31" s="9" t="n">
        <x:v>0</x:v>
      </x:c>
      <x:c r="BO31" s="9" t="n">
        <x:v>0</x:v>
      </x:c>
      <x:c r="BP31" s="9" t="n">
        <x:v>0</x:v>
      </x:c>
      <x:c r="BQ31" s="9" t="n">
        <x:v>0</x:v>
      </x:c>
      <x:c r="BR31" s="9" t="n">
        <x:v>0</x:v>
      </x:c>
      <x:c r="BS31" s="9" t="n">
        <x:v>12989429.158994494</x:v>
      </x:c>
      <x:c r="BT31" s="9" t="n">
        <x:v>75673571.80159646</x:v>
      </x:c>
      <x:c r="BU31" s="9" t="n">
        <x:v>-2337577.6983753815</x:v>
      </x:c>
      <x:c r="BV31" s="9" t="n">
        <x:v>21854590.107158378</x:v>
      </x:c>
      <x:c r="BW31" s="16" t="n">
        <x:f>SUM(B31:BV31)</x:f>
        <x:v>511066819.19681984</x:v>
      </x:c>
    </x:row>
    <x:row r="32" ht="22" customHeight="1">
      <x:c r="A32" s="2" t="str">
        <x:v>S26</x:v>
      </x:c>
      <x:c r="B32" s="9" t="n">
        <x:v>5532778.425396652</x:v>
      </x:c>
      <x:c r="C32" s="9" t="n">
        <x:v>537428.5892471317</x:v>
      </x:c>
      <x:c r="D32" s="9" t="n">
        <x:v>194989.7409500272</x:v>
      </x:c>
      <x:c r="E32" s="9" t="n">
        <x:v>3522971.7672199016</x:v>
      </x:c>
      <x:c r="F32" s="9" t="n">
        <x:v>4675418.767922784</x:v>
      </x:c>
      <x:c r="G32" s="9" t="n">
        <x:v>3432644.9271226814</x:v>
      </x:c>
      <x:c r="H32" s="9" t="n">
        <x:v>589794.586526127</x:v>
      </x:c>
      <x:c r="I32" s="9" t="n">
        <x:v>800225.0933199772</x:v>
      </x:c>
      <x:c r="J32" s="9" t="n">
        <x:v>210765.71996596563</x:v>
      </x:c>
      <x:c r="K32" s="9" t="n">
        <x:v>16147169.98744739</x:v>
      </x:c>
      <x:c r="L32" s="9" t="n">
        <x:v>1993029.4233966367</x:v>
      </x:c>
      <x:c r="M32" s="9" t="n">
        <x:v>320584.64491617103</x:v>
      </x:c>
      <x:c r="N32" s="9" t="n">
        <x:v>1968697.4424008029</x:v>
      </x:c>
      <x:c r="O32" s="9" t="n">
        <x:v>6176717.283100574</x:v>
      </x:c>
      <x:c r="P32" s="9" t="n">
        <x:v>6835678.555513128</x:v>
      </x:c>
      <x:c r="Q32" s="9" t="n">
        <x:v>3131477.4878495904</x:v>
      </x:c>
      <x:c r="R32" s="9" t="n">
        <x:v>602242.3204759969</x:v>
      </x:c>
      <x:c r="S32" s="9" t="n">
        <x:v>2149835.646734152</x:v>
      </x:c>
      <x:c r="T32" s="9" t="n">
        <x:v>3713527.77611407</x:v>
      </x:c>
      <x:c r="U32" s="9" t="n">
        <x:v>4529799.095903518</x:v>
      </x:c>
      <x:c r="V32" s="9" t="n">
        <x:v>1401341.1185051496</x:v>
      </x:c>
      <x:c r="W32" s="9" t="n">
        <x:v>1472770.8298305303</x:v>
      </x:c>
      <x:c r="X32" s="9" t="n">
        <x:v>1324840.074478461</x:v>
      </x:c>
      <x:c r="Y32" s="9" t="n">
        <x:v>21703482.292517517</x:v>
      </x:c>
      <x:c r="Z32" s="9" t="n">
        <x:v>2783090.6422223016</x:v>
      </x:c>
      <x:c r="AA32" s="9" t="n">
        <x:v>21743512.132596187</x:v>
      </x:c>
      <x:c r="AB32" s="9" t="n">
        <x:v>605976240.0834856</x:v>
      </x:c>
      <x:c r="AC32" s="9" t="n">
        <x:v>2119417.280611498</x:v>
      </x:c>
      <x:c r="AD32" s="9" t="n">
        <x:v>19986390.62220286</x:v>
      </x:c>
      <x:c r="AE32" s="9" t="n">
        <x:v>8322933.333790935</x:v>
      </x:c>
      <x:c r="AF32" s="9" t="n">
        <x:v>7996922.441902487</x:v>
      </x:c>
      <x:c r="AG32" s="9" t="n">
        <x:v>924583.5304972548</x:v>
      </x:c>
      <x:c r="AH32" s="9" t="n">
        <x:v>3652792.315083648</x:v>
      </x:c>
      <x:c r="AI32" s="9" t="n">
        <x:v>5837985.499824107</x:v>
      </x:c>
      <x:c r="AJ32" s="9" t="n">
        <x:v>679383.8097534265</x:v>
      </x:c>
      <x:c r="AK32" s="9" t="n">
        <x:v>3025089.9372893474</x:v>
      </x:c>
      <x:c r="AL32" s="9" t="n">
        <x:v>70215.54702624143</x:v>
      </x:c>
      <x:c r="AM32" s="9" t="n">
        <x:v>215334.5470576476</x:v>
      </x:c>
      <x:c r="AN32" s="9" t="n">
        <x:v>531518.3755226994</x:v>
      </x:c>
      <x:c r="AO32" s="9" t="n">
        <x:v>490928.35655248153</x:v>
      </x:c>
      <x:c r="AP32" s="9" t="n">
        <x:v>5877843.9826131705</x:v>
      </x:c>
      <x:c r="AQ32" s="9" t="n">
        <x:v>1862256.5718294561</x:v>
      </x:c>
      <x:c r="AR32" s="9" t="n">
        <x:v>2871591.5832638205</x:v>
      </x:c>
      <x:c r="AS32" s="9" t="n">
        <x:v>1983984.597324141</x:v>
      </x:c>
      <x:c r="AT32" s="9" t="n">
        <x:v>14651615.73575061</x:v>
      </x:c>
      <x:c r="AU32" s="9" t="n">
        <x:v>659538.7940767485</x:v>
      </x:c>
      <x:c r="AV32" s="9" t="n">
        <x:v>21353850.947256632</x:v>
      </x:c>
      <x:c r="AW32" s="9" t="n">
        <x:v>73342.04599472445</x:v>
      </x:c>
      <x:c r="AX32" s="9" t="n">
        <x:v>309702.1836916671</x:v>
      </x:c>
      <x:c r="AY32" s="9" t="n">
        <x:v>196468.8061835543</x:v>
      </x:c>
      <x:c r="AZ32" s="9" t="n">
        <x:v>1639984.4679448907</x:v>
      </x:c>
      <x:c r="BA32" s="9" t="n">
        <x:v>144424.09848661488</x:v>
      </x:c>
      <x:c r="BB32" s="9" t="n">
        <x:v>1103171.2214479018</x:v>
      </x:c>
      <x:c r="BC32" s="9" t="n">
        <x:v>2638737.129658405</x:v>
      </x:c>
      <x:c r="BD32" s="9" t="n">
        <x:v>70951431.02236806</x:v>
      </x:c>
      <x:c r="BE32" s="9" t="n">
        <x:v>5925106.021521594</x:v>
      </x:c>
      <x:c r="BF32" s="9" t="n">
        <x:v>9832761.455935288</x:v>
      </x:c>
      <x:c r="BG32" s="9" t="n">
        <x:v>309913.0772051093</x:v>
      </x:c>
      <x:c r="BH32" s="9" t="n">
        <x:v>961949.9193106873</x:v>
      </x:c>
      <x:c r="BI32" s="9" t="n">
        <x:v>5778562.541873182</x:v>
      </x:c>
      <x:c r="BJ32" s="9" t="n">
        <x:v>173161.73459551527</x:v>
      </x:c>
      <x:c r="BK32" s="9" t="n">
        <x:v>104492.32003813783</x:v>
      </x:c>
      <x:c r="BL32" s="9" t="n">
        <x:v>194733.40842483705</x:v>
      </x:c>
      <x:c r="BM32" s="9" t="n">
        <x:v>0</x:v>
      </x:c>
      <x:c r="BN32" s="9" t="n">
        <x:v>0</x:v>
      </x:c>
      <x:c r="BO32" s="9" t="n">
        <x:v>0</x:v>
      </x:c>
      <x:c r="BP32" s="9" t="n">
        <x:v>0</x:v>
      </x:c>
      <x:c r="BQ32" s="9" t="n">
        <x:v>0</x:v>
      </x:c>
      <x:c r="BR32" s="9" t="n">
        <x:v>0</x:v>
      </x:c>
      <x:c r="BS32" s="9" t="n">
        <x:v>93154302.44326267</x:v>
      </x:c>
      <x:c r="BT32" s="9" t="n">
        <x:v>4951491.196133531</x:v>
      </x:c>
      <x:c r="BU32" s="9" t="n">
        <x:v>3758812291.3891788</x:v>
      </x:c>
      <x:c r="BV32" s="9" t="n">
        <x:v>41327772.34770032</x:v>
      </x:c>
      <x:c r="BW32" s="16" t="n">
        <x:f>SUM(B32:BV32)</x:f>
        <x:v>4825169031.095344</x:v>
      </x:c>
    </x:row>
    <x:row r="33" ht="22" customHeight="1">
      <x:c r="A33" s="2" t="str">
        <x:v>S27</x:v>
      </x:c>
      <x:c r="B33" s="9" t="n">
        <x:v>13256285.776568634</x:v>
      </x:c>
      <x:c r="C33" s="9" t="n">
        <x:v>554704.8195335452</x:v>
      </x:c>
      <x:c r="D33" s="9" t="n">
        <x:v>235467.60462624082</x:v>
      </x:c>
      <x:c r="E33" s="9" t="n">
        <x:v>3310411.909325351</x:v>
      </x:c>
      <x:c r="F33" s="9" t="n">
        <x:v>36509855.74203585</x:v>
      </x:c>
      <x:c r="G33" s="9" t="n">
        <x:v>22065395.546293918</x:v>
      </x:c>
      <x:c r="H33" s="9" t="n">
        <x:v>2629809.587441418</x:v>
      </x:c>
      <x:c r="I33" s="9" t="n">
        <x:v>3337872.980554344</x:v>
      </x:c>
      <x:c r="J33" s="9" t="n">
        <x:v>959998.5432712897</x:v>
      </x:c>
      <x:c r="K33" s="9" t="n">
        <x:v>2322361.962756488</x:v>
      </x:c>
      <x:c r="L33" s="9" t="n">
        <x:v>6345509.315306845</x:v>
      </x:c>
      <x:c r="M33" s="9" t="n">
        <x:v>1459326.7161334772</x:v>
      </x:c>
      <x:c r="N33" s="9" t="n">
        <x:v>6597120.167082766</x:v>
      </x:c>
      <x:c r="O33" s="9" t="n">
        <x:v>8554748.842874447</x:v>
      </x:c>
      <x:c r="P33" s="9" t="n">
        <x:v>9545851.068804825</x:v>
      </x:c>
      <x:c r="Q33" s="9" t="n">
        <x:v>8377285.104943061</x:v>
      </x:c>
      <x:c r="R33" s="9" t="n">
        <x:v>2777227.8133980613</x:v>
      </x:c>
      <x:c r="S33" s="9" t="n">
        <x:v>7821480.9362007</x:v>
      </x:c>
      <x:c r="T33" s="9" t="n">
        <x:v>8194893.527319549</x:v>
      </x:c>
      <x:c r="U33" s="9" t="n">
        <x:v>19014315.1879805</x:v>
      </x:c>
      <x:c r="V33" s="9" t="n">
        <x:v>2374289.9591999482</x:v>
      </x:c>
      <x:c r="W33" s="9" t="n">
        <x:v>5346055.331468374</x:v>
      </x:c>
      <x:c r="X33" s="9" t="n">
        <x:v>2813539.2649081936</x:v>
      </x:c>
      <x:c r="Y33" s="9" t="n">
        <x:v>4184427.411491053</x:v>
      </x:c>
      <x:c r="Z33" s="9" t="n">
        <x:v>493443.6888064663</x:v>
      </x:c>
      <x:c r="AA33" s="9" t="n">
        <x:v>1919300.663704289</x:v>
      </x:c>
      <x:c r="AB33" s="9" t="n">
        <x:v>44275566.36467359</x:v>
      </x:c>
      <x:c r="AC33" s="9" t="n">
        <x:v>15355329.287061727</x:v>
      </x:c>
      <x:c r="AD33" s="9" t="n">
        <x:v>24084646.944638785</x:v>
      </x:c>
      <x:c r="AE33" s="9" t="n">
        <x:v>10586203.883507695</x:v>
      </x:c>
      <x:c r="AF33" s="9" t="n">
        <x:v>46590450.90861149</x:v>
      </x:c>
      <x:c r="AG33" s="9" t="n">
        <x:v>1142399.768678478</x:v>
      </x:c>
      <x:c r="AH33" s="9" t="n">
        <x:v>4533053.4503717255</x:v>
      </x:c>
      <x:c r="AI33" s="9" t="n">
        <x:v>7386702.819443703</x:v>
      </x:c>
      <x:c r="AJ33" s="9" t="n">
        <x:v>1689393.6852710806</x:v>
      </x:c>
      <x:c r="AK33" s="9" t="n">
        <x:v>13272611.366753295</x:v>
      </x:c>
      <x:c r="AL33" s="9" t="n">
        <x:v>315858.0518196793</x:v>
      </x:c>
      <x:c r="AM33" s="9" t="n">
        <x:v>375850.8271098655</x:v>
      </x:c>
      <x:c r="AN33" s="9" t="n">
        <x:v>854975.4263871352</x:v>
      </x:c>
      <x:c r="AO33" s="9" t="n">
        <x:v>1264287.3261897007</x:v>
      </x:c>
      <x:c r="AP33" s="9" t="n">
        <x:v>3540358.619139522</x:v>
      </x:c>
      <x:c r="AQ33" s="9" t="n">
        <x:v>610399.4534901272</x:v>
      </x:c>
      <x:c r="AR33" s="9" t="n">
        <x:v>1009245.2666351872</x:v>
      </x:c>
      <x:c r="AS33" s="9" t="n">
        <x:v>2059575.2194014601</x:v>
      </x:c>
      <x:c r="AT33" s="9" t="n">
        <x:v>1273774.1000872357</x:v>
      </x:c>
      <x:c r="AU33" s="9" t="n">
        <x:v>1681480.1914694442</x:v>
      </x:c>
      <x:c r="AV33" s="9" t="n">
        <x:v>2397333.5582318422</x:v>
      </x:c>
      <x:c r="AW33" s="9" t="n">
        <x:v>166414.9623678348</x:v>
      </x:c>
      <x:c r="AX33" s="9" t="n">
        <x:v>770072.8960970221</x:v>
      </x:c>
      <x:c r="AY33" s="9" t="n">
        <x:v>751361.1509602412</x:v>
      </x:c>
      <x:c r="AZ33" s="9" t="n">
        <x:v>8009760.428647421</x:v>
      </x:c>
      <x:c r="BA33" s="9" t="n">
        <x:v>218430.63111299084</x:v>
      </x:c>
      <x:c r="BB33" s="9" t="n">
        <x:v>1392215.0415547923</x:v>
      </x:c>
      <x:c r="BC33" s="9" t="n">
        <x:v>2290822.1001775833</x:v>
      </x:c>
      <x:c r="BD33" s="9" t="n">
        <x:v>20079953.76815758</x:v>
      </x:c>
      <x:c r="BE33" s="9" t="n">
        <x:v>1705102.1954023554</x:v>
      </x:c>
      <x:c r="BF33" s="9" t="n">
        <x:v>5725377.187370617</x:v>
      </x:c>
      <x:c r="BG33" s="9" t="n">
        <x:v>495390.08603081346</x:v>
      </x:c>
      <x:c r="BH33" s="9" t="n">
        <x:v>733613.3744458387</x:v>
      </x:c>
      <x:c r="BI33" s="9" t="n">
        <x:v>462668.8733300803</x:v>
      </x:c>
      <x:c r="BJ33" s="9" t="n">
        <x:v>443179.6555747474</x:v>
      </x:c>
      <x:c r="BK33" s="9" t="n">
        <x:v>608641.9858357091</x:v>
      </x:c>
      <x:c r="BL33" s="9" t="n">
        <x:v>785616.1124897528</x:v>
      </x:c>
      <x:c r="BM33" s="9" t="n">
        <x:v>0</x:v>
      </x:c>
      <x:c r="BN33" s="9" t="n">
        <x:v>0</x:v>
      </x:c>
      <x:c r="BO33" s="9" t="n">
        <x:v>0</x:v>
      </x:c>
      <x:c r="BP33" s="9" t="n">
        <x:v>0</x:v>
      </x:c>
      <x:c r="BQ33" s="9" t="n">
        <x:v>0</x:v>
      </x:c>
      <x:c r="BR33" s="9" t="n">
        <x:v>0</x:v>
      </x:c>
      <x:c r="BS33" s="9" t="n">
        <x:v>356885434.58501613</x:v>
      </x:c>
      <x:c r="BT33" s="9" t="n">
        <x:v>7042275.05153591</x:v>
      </x:c>
      <x:c r="BU33" s="9" t="n">
        <x:v>70745689.42011856</x:v>
      </x:c>
      <x:c r="BV33" s="9" t="n">
        <x:v>122885569.89065033</x:v>
      </x:c>
      <x:c r="BW33" s="16" t="n">
        <x:f>SUM(B33:BV33)</x:f>
        <x:v>967498065.3878789</x:v>
      </x:c>
    </x:row>
    <x:row r="34" ht="22" customHeight="1">
      <x:c r="A34" s="2" t="str">
        <x:v>S28</x:v>
      </x:c>
      <x:c r="B34" s="9" t="n">
        <x:v>51613715.76347801</x:v>
      </x:c>
      <x:c r="C34" s="9" t="n">
        <x:v>755450.1596404441</x:v>
      </x:c>
      <x:c r="D34" s="9" t="n">
        <x:v>1030456.4500942964</x:v>
      </x:c>
      <x:c r="E34" s="9" t="n">
        <x:v>10632232.822630294</x:v>
      </x:c>
      <x:c r="F34" s="9" t="n">
        <x:v>129335223.78644909</x:v>
      </x:c>
      <x:c r="G34" s="9" t="n">
        <x:v>80532115.7829929</x:v>
      </x:c>
      <x:c r="H34" s="9" t="n">
        <x:v>9526222.97261643</x:v>
      </x:c>
      <x:c r="I34" s="9" t="n">
        <x:v>12026948.443975627</x:v>
      </x:c>
      <x:c r="J34" s="9" t="n">
        <x:v>3119634.120056889</x:v>
      </x:c>
      <x:c r="K34" s="9" t="n">
        <x:v>10885533.149552409</x:v>
      </x:c>
      <x:c r="L34" s="9" t="n">
        <x:v>26618890.543294754</x:v>
      </x:c>
      <x:c r="M34" s="9" t="n">
        <x:v>5639113.473473169</x:v>
      </x:c>
      <x:c r="N34" s="9" t="n">
        <x:v>24008374.23829691</x:v>
      </x:c>
      <x:c r="O34" s="9" t="n">
        <x:v>25517044.738387045</x:v>
      </x:c>
      <x:c r="P34" s="9" t="n">
        <x:v>35892309.95094463</x:v>
      </x:c>
      <x:c r="Q34" s="9" t="n">
        <x:v>27866520.86733409</x:v>
      </x:c>
      <x:c r="R34" s="9" t="n">
        <x:v>9722140.793872252</x:v>
      </x:c>
      <x:c r="S34" s="9" t="n">
        <x:v>32142008.05659843</x:v>
      </x:c>
      <x:c r="T34" s="9" t="n">
        <x:v>27709739.08858292</x:v>
      </x:c>
      <x:c r="U34" s="9" t="n">
        <x:v>60014573.224810645</x:v>
      </x:c>
      <x:c r="V34" s="9" t="n">
        <x:v>8847179.919467453</x:v>
      </x:c>
      <x:c r="W34" s="9" t="n">
        <x:v>18342780.890645247</x:v>
      </x:c>
      <x:c r="X34" s="9" t="n">
        <x:v>7849963.820209294</x:v>
      </x:c>
      <x:c r="Y34" s="9" t="n">
        <x:v>21589122.809971232</x:v>
      </x:c>
      <x:c r="Z34" s="9" t="n">
        <x:v>1327285.8108399287</x:v>
      </x:c>
      <x:c r="AA34" s="9" t="n">
        <x:v>3819834.5662777587</x:v>
      </x:c>
      <x:c r="AB34" s="9" t="n">
        <x:v>126398906.91340186</x:v>
      </x:c>
      <x:c r="AC34" s="9" t="n">
        <x:v>16255065.022862447</x:v>
      </x:c>
      <x:c r="AD34" s="9" t="n">
        <x:v>27734012.585608676</x:v>
      </x:c>
      <x:c r="AE34" s="9" t="n">
        <x:v>17592809.835006364</x:v>
      </x:c>
      <x:c r="AF34" s="9" t="n">
        <x:v>49213036.78250305</x:v>
      </x:c>
      <x:c r="AG34" s="9" t="n">
        <x:v>3629827.7451960463</x:v>
      </x:c>
      <x:c r="AH34" s="9" t="n">
        <x:v>18548543.245756533</x:v>
      </x:c>
      <x:c r="AI34" s="9" t="n">
        <x:v>11209927.254066696</x:v>
      </x:c>
      <x:c r="AJ34" s="9" t="n">
        <x:v>3076449.7467328566</x:v>
      </x:c>
      <x:c r="AK34" s="9" t="n">
        <x:v>42346225.842635624</x:v>
      </x:c>
      <x:c r="AL34" s="9" t="n">
        <x:v>1083900.8176028077</x:v>
      </x:c>
      <x:c r="AM34" s="9" t="n">
        <x:v>1091379.5517875853</x:v>
      </x:c>
      <x:c r="AN34" s="9" t="n">
        <x:v>2939016.6941421013</x:v>
      </x:c>
      <x:c r="AO34" s="9" t="n">
        <x:v>4489035.6250799345</x:v>
      </x:c>
      <x:c r="AP34" s="9" t="n">
        <x:v>1707967.978135946</x:v>
      </x:c>
      <x:c r="AQ34" s="9" t="n">
        <x:v>231972.8453280475</x:v>
      </x:c>
      <x:c r="AR34" s="9" t="n">
        <x:v>732439.5697708016</x:v>
      </x:c>
      <x:c r="AS34" s="9" t="n">
        <x:v>4788525.844704068</x:v>
      </x:c>
      <x:c r="AT34" s="9" t="n">
        <x:v>4953809.211765659</x:v>
      </x:c>
      <x:c r="AU34" s="9" t="n">
        <x:v>3485323.211719607</x:v>
      </x:c>
      <x:c r="AV34" s="9" t="n">
        <x:v>7105943.0923612155</x:v>
      </x:c>
      <x:c r="AW34" s="9" t="n">
        <x:v>688606.130207643</x:v>
      </x:c>
      <x:c r="AX34" s="9" t="n">
        <x:v>2334168.022848374</x:v>
      </x:c>
      <x:c r="AY34" s="9" t="n">
        <x:v>1843112.8365224293</x:v>
      </x:c>
      <x:c r="AZ34" s="9" t="n">
        <x:v>2209881.4740731185</x:v>
      </x:c>
      <x:c r="BA34" s="9" t="n">
        <x:v>490911.7105645204</x:v>
      </x:c>
      <x:c r="BB34" s="9" t="n">
        <x:v>3131606.3371602967</x:v>
      </x:c>
      <x:c r="BC34" s="9" t="n">
        <x:v>5777226.267695925</x:v>
      </x:c>
      <x:c r="BD34" s="9" t="n">
        <x:v>20614825.84227049</x:v>
      </x:c>
      <x:c r="BE34" s="9" t="n">
        <x:v>3749332.238997082</x:v>
      </x:c>
      <x:c r="BF34" s="9" t="n">
        <x:v>16928901.358092472</x:v>
      </x:c>
      <x:c r="BG34" s="9" t="n">
        <x:v>1341937.8559880515</x:v>
      </x:c>
      <x:c r="BH34" s="9" t="n">
        <x:v>2357775.291507477</x:v>
      </x:c>
      <x:c r="BI34" s="9" t="n">
        <x:v>1230511.5981252717</x:v>
      </x:c>
      <x:c r="BJ34" s="9" t="n">
        <x:v>1474150.126903921</x:v>
      </x:c>
      <x:c r="BK34" s="9" t="n">
        <x:v>1459956.0426256638</x:v>
      </x:c>
      <x:c r="BL34" s="9" t="n">
        <x:v>1752674.729410354</x:v>
      </x:c>
      <x:c r="BM34" s="9" t="n">
        <x:v>0</x:v>
      </x:c>
      <x:c r="BN34" s="9" t="n">
        <x:v>0</x:v>
      </x:c>
      <x:c r="BO34" s="9" t="n">
        <x:v>0</x:v>
      </x:c>
      <x:c r="BP34" s="9" t="n">
        <x:v>0</x:v>
      </x:c>
      <x:c r="BQ34" s="9" t="n">
        <x:v>0</x:v>
      </x:c>
      <x:c r="BR34" s="9" t="n">
        <x:v>0</x:v>
      </x:c>
      <x:c r="BS34" s="9" t="n">
        <x:v>874330244.9418104</x:v>
      </x:c>
      <x:c r="BT34" s="9" t="n">
        <x:v>28034207.755826365</x:v>
      </x:c>
      <x:c r="BU34" s="9" t="n">
        <x:v>276616954.2271459</x:v>
      </x:c>
      <x:c r="BV34" s="9" t="n">
        <x:v>464342559.2595673</x:v>
      </x:c>
      <x:c r="BW34" s="16" t="n">
        <x:f>SUM(B34:BV34)</x:f>
        <x:v>2705688079.708003</x:v>
      </x:c>
    </x:row>
    <x:row r="35" ht="22" customHeight="1">
      <x:c r="A35" s="2" t="str">
        <x:v>S29</x:v>
      </x:c>
      <x:c r="B35" s="9" t="n">
        <x:v>41431468.89187434</x:v>
      </x:c>
      <x:c r="C35" s="9" t="n">
        <x:v>283006.35935666325</x:v>
      </x:c>
      <x:c r="D35" s="9" t="n">
        <x:v>736113.0916823715</x:v>
      </x:c>
      <x:c r="E35" s="9" t="n">
        <x:v>6364868.796433069</x:v>
      </x:c>
      <x:c r="F35" s="9" t="n">
        <x:v>109756031.34360804</x:v>
      </x:c>
      <x:c r="G35" s="9" t="n">
        <x:v>66190457.58170919</x:v>
      </x:c>
      <x:c r="H35" s="9" t="n">
        <x:v>7824792.685725672</x:v>
      </x:c>
      <x:c r="I35" s="9" t="n">
        <x:v>9848260.181129735</x:v>
      </x:c>
      <x:c r="J35" s="9" t="n">
        <x:v>2594177.2350740405</x:v>
      </x:c>
      <x:c r="K35" s="9" t="n">
        <x:v>7285538.095442154</x:v>
      </x:c>
      <x:c r="L35" s="9" t="n">
        <x:v>19169906.877526816</x:v>
      </x:c>
      <x:c r="M35" s="9" t="n">
        <x:v>4374104.727874798</x:v>
      </x:c>
      <x:c r="N35" s="9" t="n">
        <x:v>18115412.544425152</x:v>
      </x:c>
      <x:c r="O35" s="9" t="n">
        <x:v>20367228.33421941</x:v>
      </x:c>
      <x:c r="P35" s="9" t="n">
        <x:v>29117549.99247051</x:v>
      </x:c>
      <x:c r="Q35" s="9" t="n">
        <x:v>22422415.279506262</x:v>
      </x:c>
      <x:c r="R35" s="9" t="n">
        <x:v>7680601.491636887</x:v>
      </x:c>
      <x:c r="S35" s="9" t="n">
        <x:v>22885138.356811028</x:v>
      </x:c>
      <x:c r="T35" s="9" t="n">
        <x:v>20894220.714957286</x:v>
      </x:c>
      <x:c r="U35" s="9" t="n">
        <x:v>43302765.02629914</x:v>
      </x:c>
      <x:c r="V35" s="9" t="n">
        <x:v>6766671.994834288</x:v>
      </x:c>
      <x:c r="W35" s="9" t="n">
        <x:v>15129616.603755036</x:v>
      </x:c>
      <x:c r="X35" s="9" t="n">
        <x:v>5905569.63819413</x:v>
      </x:c>
      <x:c r="Y35" s="9" t="n">
        <x:v>11734989.323764464</x:v>
      </x:c>
      <x:c r="Z35" s="9" t="n">
        <x:v>1062733.379641463</x:v>
      </x:c>
      <x:c r="AA35" s="9" t="n">
        <x:v>3111335.3083692673</x:v>
      </x:c>
      <x:c r="AB35" s="9" t="n">
        <x:v>102638532.87435329</x:v>
      </x:c>
      <x:c r="AC35" s="9" t="n">
        <x:v>13303364.11562775</x:v>
      </x:c>
      <x:c r="AD35" s="9" t="n">
        <x:v>21274303.204694703</x:v>
      </x:c>
      <x:c r="AE35" s="9" t="n">
        <x:v>15131393.048188746</x:v>
      </x:c>
      <x:c r="AF35" s="9" t="n">
        <x:v>40620985.18255881</x:v>
      </x:c>
      <x:c r="AG35" s="9" t="n">
        <x:v>2653210.34500849</x:v>
      </x:c>
      <x:c r="AH35" s="9" t="n">
        <x:v>12966983.476659214</x:v>
      </x:c>
      <x:c r="AI35" s="9" t="n">
        <x:v>8765510.6031809</x:v>
      </x:c>
      <x:c r="AJ35" s="9" t="n">
        <x:v>2644069.034562562</x:v>
      </x:c>
      <x:c r="AK35" s="9" t="n">
        <x:v>35625996.32468846</x:v>
      </x:c>
      <x:c r="AL35" s="9" t="n">
        <x:v>1023946.3871017466</x:v>
      </x:c>
      <x:c r="AM35" s="9" t="n">
        <x:v>959125.4780101203</x:v>
      </x:c>
      <x:c r="AN35" s="9" t="n">
        <x:v>2515662.5847909185</x:v>
      </x:c>
      <x:c r="AO35" s="9" t="n">
        <x:v>4029550.567672068</x:v>
      </x:c>
      <x:c r="AP35" s="9" t="n">
        <x:v>1599226.4662698135</x:v>
      </x:c>
      <x:c r="AQ35" s="9" t="n">
        <x:v>247443.77142561792</x:v>
      </x:c>
      <x:c r="AR35" s="9" t="n">
        <x:v>702970.2677312924</x:v>
      </x:c>
      <x:c r="AS35" s="9" t="n">
        <x:v>3488233.483095713</x:v>
      </x:c>
      <x:c r="AT35" s="9" t="n">
        <x:v>4027688.720790631</x:v>
      </x:c>
      <x:c r="AU35" s="9" t="n">
        <x:v>2694471.1622048253</x:v>
      </x:c>
      <x:c r="AV35" s="9" t="n">
        <x:v>4944704.269068468</x:v>
      </x:c>
      <x:c r="AW35" s="9" t="n">
        <x:v>487509.8361116408</x:v>
      </x:c>
      <x:c r="AX35" s="9" t="n">
        <x:v>2112976.1572746215</x:v>
      </x:c>
      <x:c r="AY35" s="9" t="n">
        <x:v>1508366.7739943461</x:v>
      </x:c>
      <x:c r="AZ35" s="9" t="n">
        <x:v>1731365.61035882</x:v>
      </x:c>
      <x:c r="BA35" s="9" t="n">
        <x:v>314424.0557432761</x:v>
      </x:c>
      <x:c r="BB35" s="9" t="n">
        <x:v>3760568.144219593</x:v>
      </x:c>
      <x:c r="BC35" s="9" t="n">
        <x:v>4781050.763372107</x:v>
      </x:c>
      <x:c r="BD35" s="9" t="n">
        <x:v>17666020.362052243</x:v>
      </x:c>
      <x:c r="BE35" s="9" t="n">
        <x:v>3280293.4899661387</x:v>
      </x:c>
      <x:c r="BF35" s="9" t="n">
        <x:v>14257163.220068227</x:v>
      </x:c>
      <x:c r="BG35" s="9" t="n">
        <x:v>1126980.8602225606</x:v>
      </x:c>
      <x:c r="BH35" s="9" t="n">
        <x:v>2056174.4748355423</x:v>
      </x:c>
      <x:c r="BI35" s="9" t="n">
        <x:v>1063266.7149806966</x:v>
      </x:c>
      <x:c r="BJ35" s="9" t="n">
        <x:v>1273787.8205207344</x:v>
      </x:c>
      <x:c r="BK35" s="9" t="n">
        <x:v>1203482.1182009098</x:v>
      </x:c>
      <x:c r="BL35" s="9" t="n">
        <x:v>1572647.2255636845</x:v>
      </x:c>
      <x:c r="BM35" s="9" t="n">
        <x:v>0</x:v>
      </x:c>
      <x:c r="BN35" s="9" t="n">
        <x:v>0</x:v>
      </x:c>
      <x:c r="BO35" s="9" t="n">
        <x:v>0</x:v>
      </x:c>
      <x:c r="BP35" s="9" t="n">
        <x:v>0</x:v>
      </x:c>
      <x:c r="BQ35" s="9" t="n">
        <x:v>0</x:v>
      </x:c>
      <x:c r="BR35" s="9" t="n">
        <x:v>0</x:v>
      </x:c>
      <x:c r="BS35" s="9" t="n">
        <x:v>766872957.740166</x:v>
      </x:c>
      <x:c r="BT35" s="9" t="n">
        <x:v>22494411.094214562</x:v>
      </x:c>
      <x:c r="BU35" s="9" t="n">
        <x:v>232920191.88568273</x:v>
      </x:c>
      <x:c r="BV35" s="9" t="n">
        <x:v>381361122.14197993</x:v>
      </x:c>
      <x:c r="BW35" s="16" t="n">
        <x:f>SUM(B35:BV35)</x:f>
        <x:v>2248057105.713534</x:v>
      </x:c>
    </x:row>
    <x:row r="36" ht="22" customHeight="1">
      <x:c r="A36" s="2" t="str">
        <x:v>S30</x:v>
      </x:c>
      <x:c r="B36" s="9" t="n">
        <x:v>28452306.417903773</x:v>
      </x:c>
      <x:c r="C36" s="9" t="n">
        <x:v>750256.5961098274</x:v>
      </x:c>
      <x:c r="D36" s="9" t="n">
        <x:v>373576.3151648953</x:v>
      </x:c>
      <x:c r="E36" s="9" t="n">
        <x:v>15839882.61947221</x:v>
      </x:c>
      <x:c r="F36" s="9" t="n">
        <x:v>74469266.5892441</x:v>
      </x:c>
      <x:c r="G36" s="9" t="n">
        <x:v>35212165.44775681</x:v>
      </x:c>
      <x:c r="H36" s="9" t="n">
        <x:v>8334908.56512045</x:v>
      </x:c>
      <x:c r="I36" s="9" t="n">
        <x:v>13562009.265697274</x:v>
      </x:c>
      <x:c r="J36" s="9" t="n">
        <x:v>2587102.428593942</x:v>
      </x:c>
      <x:c r="K36" s="9" t="n">
        <x:v>10548130.897377763</x:v>
      </x:c>
      <x:c r="L36" s="9" t="n">
        <x:v>18809681.500811823</x:v>
      </x:c>
      <x:c r="M36" s="9" t="n">
        <x:v>2594452.2179182055</x:v>
      </x:c>
      <x:c r="N36" s="9" t="n">
        <x:v>20289940.077989154</x:v>
      </x:c>
      <x:c r="O36" s="9" t="n">
        <x:v>39512349.47586421</x:v>
      </x:c>
      <x:c r="P36" s="9" t="n">
        <x:v>62692408.30525885</x:v>
      </x:c>
      <x:c r="Q36" s="9" t="n">
        <x:v>30190789.35503562</x:v>
      </x:c>
      <x:c r="R36" s="9" t="n">
        <x:v>5008722.320967121</x:v>
      </x:c>
      <x:c r="S36" s="9" t="n">
        <x:v>20517552.234832607</x:v>
      </x:c>
      <x:c r="T36" s="9" t="n">
        <x:v>20050371.63245491</x:v>
      </x:c>
      <x:c r="U36" s="9" t="n">
        <x:v>41819437.564017124</x:v>
      </x:c>
      <x:c r="V36" s="9" t="n">
        <x:v>6856600.786806939</x:v>
      </x:c>
      <x:c r="W36" s="9" t="n">
        <x:v>13410669.137236102</x:v>
      </x:c>
      <x:c r="X36" s="9" t="n">
        <x:v>5279781.330145221</x:v>
      </x:c>
      <x:c r="Y36" s="9" t="n">
        <x:v>21226031.081645418</x:v>
      </x:c>
      <x:c r="Z36" s="9" t="n">
        <x:v>932584.3273846718</x:v>
      </x:c>
      <x:c r="AA36" s="9" t="n">
        <x:v>4225409.53913028</x:v>
      </x:c>
      <x:c r="AB36" s="9" t="n">
        <x:v>117336565.47820947</x:v>
      </x:c>
      <x:c r="AC36" s="9" t="n">
        <x:v>15041988.776271757</x:v>
      </x:c>
      <x:c r="AD36" s="9" t="n">
        <x:v>114080941.4609231</x:v>
      </x:c>
      <x:c r="AE36" s="9" t="n">
        <x:v>44728929.6921297</x:v>
      </x:c>
      <x:c r="AF36" s="9" t="n">
        <x:v>186698286.80313933</x:v>
      </x:c>
      <x:c r="AG36" s="9" t="n">
        <x:v>11760651.033050697</x:v>
      </x:c>
      <x:c r="AH36" s="9" t="n">
        <x:v>15977736.020444317</x:v>
      </x:c>
      <x:c r="AI36" s="9" t="n">
        <x:v>57257948.55200655</x:v>
      </x:c>
      <x:c r="AJ36" s="9" t="n">
        <x:v>11443909.7812055</x:v>
      </x:c>
      <x:c r="AK36" s="9" t="n">
        <x:v>20799339.841725376</x:v>
      </x:c>
      <x:c r="AL36" s="9" t="n">
        <x:v>681675.1514564509</x:v>
      </x:c>
      <x:c r="AM36" s="9" t="n">
        <x:v>635607.918231176</x:v>
      </x:c>
      <x:c r="AN36" s="9" t="n">
        <x:v>1061944.244189412</x:v>
      </x:c>
      <x:c r="AO36" s="9" t="n">
        <x:v>1640276.861365994</x:v>
      </x:c>
      <x:c r="AP36" s="9" t="n">
        <x:v>3750225.324363715</x:v>
      </x:c>
      <x:c r="AQ36" s="9" t="n">
        <x:v>1263157.75267046</x:v>
      </x:c>
      <x:c r="AR36" s="9" t="n">
        <x:v>1767354.6801018277</x:v>
      </x:c>
      <x:c r="AS36" s="9" t="n">
        <x:v>5654259.935528374</x:v>
      </x:c>
      <x:c r="AT36" s="9" t="n">
        <x:v>1975769.3158961977</x:v>
      </x:c>
      <x:c r="AU36" s="9" t="n">
        <x:v>2338811.2481429414</x:v>
      </x:c>
      <x:c r="AV36" s="9" t="n">
        <x:v>4343201.930459595</x:v>
      </x:c>
      <x:c r="AW36" s="9" t="n">
        <x:v>239342.7120216798</x:v>
      </x:c>
      <x:c r="AX36" s="9" t="n">
        <x:v>1535872.1676266193</x:v>
      </x:c>
      <x:c r="AY36" s="9" t="n">
        <x:v>972842.9661438087</x:v>
      </x:c>
      <x:c r="AZ36" s="9" t="n">
        <x:v>3702194.7854415514</x:v>
      </x:c>
      <x:c r="BA36" s="9" t="n">
        <x:v>507054.2081800185</x:v>
      </x:c>
      <x:c r="BB36" s="9" t="n">
        <x:v>5868464.492778775</x:v>
      </x:c>
      <x:c r="BC36" s="9" t="n">
        <x:v>5061563.982510065</x:v>
      </x:c>
      <x:c r="BD36" s="9" t="n">
        <x:v>26357493.327927746</x:v>
      </x:c>
      <x:c r="BE36" s="9" t="n">
        <x:v>11847115.137460727</x:v>
      </x:c>
      <x:c r="BF36" s="9" t="n">
        <x:v>6232388.429476432</x:v>
      </x:c>
      <x:c r="BG36" s="9" t="n">
        <x:v>607232.7207305895</x:v>
      </x:c>
      <x:c r="BH36" s="9" t="n">
        <x:v>1218998.2890025568</x:v>
      </x:c>
      <x:c r="BI36" s="9" t="n">
        <x:v>738462.0481545643</x:v>
      </x:c>
      <x:c r="BJ36" s="9" t="n">
        <x:v>749262.5902514826</x:v>
      </x:c>
      <x:c r="BK36" s="9" t="n">
        <x:v>646720.8646259306</x:v>
      </x:c>
      <x:c r="BL36" s="9" t="n">
        <x:v>765952.9739191856</x:v>
      </x:c>
      <x:c r="BM36" s="9" t="n">
        <x:v>0</x:v>
      </x:c>
      <x:c r="BN36" s="9" t="n">
        <x:v>0</x:v>
      </x:c>
      <x:c r="BO36" s="9" t="n">
        <x:v>0</x:v>
      </x:c>
      <x:c r="BP36" s="9" t="n">
        <x:v>0</x:v>
      </x:c>
      <x:c r="BQ36" s="9" t="n">
        <x:v>0</x:v>
      </x:c>
      <x:c r="BR36" s="9" t="n">
        <x:v>0</x:v>
      </x:c>
      <x:c r="BS36" s="9" t="n">
        <x:v>812090674.0305256</x:v>
      </x:c>
      <x:c r="BT36" s="9" t="n">
        <x:v>35423248.7294863</x:v>
      </x:c>
      <x:c r="BU36" s="9" t="n">
        <x:v>128218783.90946192</x:v>
      </x:c>
      <x:c r="BV36" s="9" t="n">
        <x:v>480846227.9692335</x:v>
      </x:c>
      <x:c r="BW36" s="16" t="n">
        <x:f>SUM(B36:BV36)</x:f>
        <x:v>2647414864.16641</x:v>
      </x:c>
    </x:row>
    <x:row r="37" ht="22" customHeight="1">
      <x:c r="A37" s="2" t="str">
        <x:v>S31</x:v>
      </x:c>
      <x:c r="B37" s="9" t="n">
        <x:v>469842.9669721693</x:v>
      </x:c>
      <x:c r="C37" s="9" t="n">
        <x:v>16518.572758037993</x:v>
      </x:c>
      <x:c r="D37" s="9" t="n">
        <x:v>50608.93545264463</x:v>
      </x:c>
      <x:c r="E37" s="9" t="n">
        <x:v>885152.4923196721</x:v>
      </x:c>
      <x:c r="F37" s="9" t="n">
        <x:v>2060870.3240035018</x:v>
      </x:c>
      <x:c r="G37" s="9" t="n">
        <x:v>1113843.133610989</x:v>
      </x:c>
      <x:c r="H37" s="9" t="n">
        <x:v>170644.3308986884</x:v>
      </x:c>
      <x:c r="I37" s="9" t="n">
        <x:v>455929.61648750317</x:v>
      </x:c>
      <x:c r="J37" s="9" t="n">
        <x:v>66438.87938611873</x:v>
      </x:c>
      <x:c r="K37" s="9" t="n">
        <x:v>2952575.3624714855</x:v>
      </x:c>
      <x:c r="L37" s="9" t="n">
        <x:v>708245.6268711598</x:v>
      </x:c>
      <x:c r="M37" s="9" t="n">
        <x:v>108313.35394270619</x:v>
      </x:c>
      <x:c r="N37" s="9" t="n">
        <x:v>759973.6581472745</x:v>
      </x:c>
      <x:c r="O37" s="9" t="n">
        <x:v>1041208.0014667952</x:v>
      </x:c>
      <x:c r="P37" s="9" t="n">
        <x:v>2715874.4268733924</x:v>
      </x:c>
      <x:c r="Q37" s="9" t="n">
        <x:v>979927.8421582747</x:v>
      </x:c>
      <x:c r="R37" s="9" t="n">
        <x:v>238179.67841111394</x:v>
      </x:c>
      <x:c r="S37" s="9" t="n">
        <x:v>752802.9143300661</x:v>
      </x:c>
      <x:c r="T37" s="9" t="n">
        <x:v>742380.8510835068</x:v>
      </x:c>
      <x:c r="U37" s="9" t="n">
        <x:v>1495448.3139894432</x:v>
      </x:c>
      <x:c r="V37" s="9" t="n">
        <x:v>1077618.0112863493</x:v>
      </x:c>
      <x:c r="W37" s="9" t="n">
        <x:v>416204.88127523893</x:v>
      </x:c>
      <x:c r="X37" s="9" t="n">
        <x:v>428683.46854404005</x:v>
      </x:c>
      <x:c r="Y37" s="9" t="n">
        <x:v>1272313.0503527103</x:v>
      </x:c>
      <x:c r="Z37" s="9" t="n">
        <x:v>24611.61356480497</x:v>
      </x:c>
      <x:c r="AA37" s="9" t="n">
        <x:v>233295.80503870515</x:v>
      </x:c>
      <x:c r="AB37" s="9" t="n">
        <x:v>3072308.302280159</x:v>
      </x:c>
      <x:c r="AC37" s="9" t="n">
        <x:v>524210.4194732078</x:v>
      </x:c>
      <x:c r="AD37" s="9" t="n">
        <x:v>17497190.884855237</x:v>
      </x:c>
      <x:c r="AE37" s="9" t="n">
        <x:v>973254.3130954256</x:v>
      </x:c>
      <x:c r="AF37" s="9" t="n">
        <x:v>13519797.62271262</x:v>
      </x:c>
      <x:c r="AG37" s="9" t="n">
        <x:v>15779462.063698465</x:v>
      </x:c>
      <x:c r="AH37" s="9" t="n">
        <x:v>3783099.3864771817</x:v>
      </x:c>
      <x:c r="AI37" s="9" t="n">
        <x:v>8633172.021347594</x:v>
      </x:c>
      <x:c r="AJ37" s="9" t="n">
        <x:v>192322.76564147096</x:v>
      </x:c>
      <x:c r="AK37" s="9" t="n">
        <x:v>1252770.1696866276</x:v>
      </x:c>
      <x:c r="AL37" s="9" t="n">
        <x:v>20188.158909796482</x:v>
      </x:c>
      <x:c r="AM37" s="9" t="n">
        <x:v>89918.86761956316</x:v>
      </x:c>
      <x:c r="AN37" s="9" t="n">
        <x:v>62759.00772571119</x:v>
      </x:c>
      <x:c r="AO37" s="9" t="n">
        <x:v>210189.63614565937</x:v>
      </x:c>
      <x:c r="AP37" s="9" t="n">
        <x:v>130317.87676586332</x:v>
      </x:c>
      <x:c r="AQ37" s="9" t="n">
        <x:v>4345.9921867800285</x:v>
      </x:c>
      <x:c r="AR37" s="9" t="n">
        <x:v>20212.247985717844</x:v>
      </x:c>
      <x:c r="AS37" s="9" t="n">
        <x:v>386377.2935072658</x:v>
      </x:c>
      <x:c r="AT37" s="9" t="n">
        <x:v>70473.03740692101</x:v>
      </x:c>
      <x:c r="AU37" s="9" t="n">
        <x:v>319528.8842342919</x:v>
      </x:c>
      <x:c r="AV37" s="9" t="n">
        <x:v>426717.7984617723</x:v>
      </x:c>
      <x:c r="AW37" s="9" t="n">
        <x:v>13909.614654892841</x:v>
      </x:c>
      <x:c r="AX37" s="9" t="n">
        <x:v>180434.62591608812</x:v>
      </x:c>
      <x:c r="AY37" s="9" t="n">
        <x:v>43310.448377553126</x:v>
      </x:c>
      <x:c r="AZ37" s="9" t="n">
        <x:v>132557.67004354944</x:v>
      </x:c>
      <x:c r="BA37" s="9" t="n">
        <x:v>18534.30225138685</x:v>
      </x:c>
      <x:c r="BB37" s="9" t="n">
        <x:v>1078664.6097502294</x:v>
      </x:c>
      <x:c r="BC37" s="9" t="n">
        <x:v>158055.34378165242</x:v>
      </x:c>
      <x:c r="BD37" s="9" t="n">
        <x:v>2091080.7536724026</x:v>
      </x:c>
      <x:c r="BE37" s="9" t="n">
        <x:v>75744.57535990268</x:v>
      </x:c>
      <x:c r="BF37" s="9" t="n">
        <x:v>172788.57992572992</x:v>
      </x:c>
      <x:c r="BG37" s="9" t="n">
        <x:v>14883.43009303957</x:v>
      </x:c>
      <x:c r="BH37" s="9" t="n">
        <x:v>63830.69464731146</x:v>
      </x:c>
      <x:c r="BI37" s="9" t="n">
        <x:v>1438900.2515223948</x:v>
      </x:c>
      <x:c r="BJ37" s="9" t="n">
        <x:v>20034.28386197829</x:v>
      </x:c>
      <x:c r="BK37" s="9" t="n">
        <x:v>16881.77147297738</x:v>
      </x:c>
      <x:c r="BL37" s="9" t="n">
        <x:v>36010.22190454951</x:v>
      </x:c>
      <x:c r="BM37" s="9" t="n">
        <x:v>0</x:v>
      </x:c>
      <x:c r="BN37" s="9" t="n">
        <x:v>0</x:v>
      </x:c>
      <x:c r="BO37" s="9" t="n">
        <x:v>0</x:v>
      </x:c>
      <x:c r="BP37" s="9" t="n">
        <x:v>0</x:v>
      </x:c>
      <x:c r="BQ37" s="9" t="n">
        <x:v>0</x:v>
      </x:c>
      <x:c r="BR37" s="9" t="n">
        <x:v>0</x:v>
      </x:c>
      <x:c r="BS37" s="9" t="n">
        <x:v>14939149.82209072</x:v>
      </x:c>
      <x:c r="BT37" s="9" t="n">
        <x:v>542344.1065752795</x:v>
      </x:c>
      <x:c r="BU37" s="9" t="n">
        <x:v>2232712.2770447927</x:v>
      </x:c>
      <x:c r="BV37" s="9" t="n">
        <x:v>161439018.35257155</x:v>
      </x:c>
      <x:c r="BW37" s="16" t="n">
        <x:f>SUM(B37:BV37)</x:f>
        <x:v>272914968.59743166</x:v>
      </x:c>
    </x:row>
    <x:row r="38" ht="22" customHeight="1">
      <x:c r="A38" s="2" t="str">
        <x:v>S32</x:v>
      </x:c>
      <x:c r="B38" s="9" t="n">
        <x:v>74557.39469470095</x:v>
      </x:c>
      <x:c r="C38" s="9" t="n">
        <x:v>258088.77761586045</x:v>
      </x:c>
      <x:c r="D38" s="9" t="n">
        <x:v>170585.12715758607</x:v>
      </x:c>
      <x:c r="E38" s="9" t="n">
        <x:v>150436.75057863462</x:v>
      </x:c>
      <x:c r="F38" s="9" t="n">
        <x:v>273571.7074406992</x:v>
      </x:c>
      <x:c r="G38" s="9" t="n">
        <x:v>460216.8323408938</x:v>
      </x:c>
      <x:c r="H38" s="9" t="n">
        <x:v>21519.127290327673</x:v>
      </x:c>
      <x:c r="I38" s="9" t="n">
        <x:v>158450.60347827722</x:v>
      </x:c>
      <x:c r="J38" s="9" t="n">
        <x:v>21771.8130505537</x:v>
      </x:c>
      <x:c r="K38" s="9" t="n">
        <x:v>61490.12497643166</x:v>
      </x:c>
      <x:c r="L38" s="9" t="n">
        <x:v>95232.38488235563</x:v>
      </x:c>
      <x:c r="M38" s="9" t="n">
        <x:v>232055.98323086236</x:v>
      </x:c>
      <x:c r="N38" s="9" t="n">
        <x:v>187747.4889773347</x:v>
      </x:c>
      <x:c r="O38" s="9" t="n">
        <x:v>152388.4628587696</x:v>
      </x:c>
      <x:c r="P38" s="9" t="n">
        <x:v>145432.930511908</x:v>
      </x:c>
      <x:c r="Q38" s="9" t="n">
        <x:v>163761.6215362235</x:v>
      </x:c>
      <x:c r="R38" s="9" t="n">
        <x:v>279616.35681859404</x:v>
      </x:c>
      <x:c r="S38" s="9" t="n">
        <x:v>224180.5654591701</x:v>
      </x:c>
      <x:c r="T38" s="9" t="n">
        <x:v>239623.1215312157</x:v>
      </x:c>
      <x:c r="U38" s="9" t="n">
        <x:v>563067.2417756696</x:v>
      </x:c>
      <x:c r="V38" s="9" t="n">
        <x:v>1466438.3604141986</x:v>
      </x:c>
      <x:c r="W38" s="9" t="n">
        <x:v>156461.60801430375</x:v>
      </x:c>
      <x:c r="X38" s="9" t="n">
        <x:v>6019472.701894681</x:v>
      </x:c>
      <x:c r="Y38" s="9" t="n">
        <x:v>303849.67624141066</x:v>
      </x:c>
      <x:c r="Z38" s="9" t="n">
        <x:v>3994.083059161545</x:v>
      </x:c>
      <x:c r="AA38" s="9" t="n">
        <x:v>16375.30525966774</x:v>
      </x:c>
      <x:c r="AB38" s="9" t="n">
        <x:v>1717721.9435584347</x:v>
      </x:c>
      <x:c r="AC38" s="9" t="n">
        <x:v>607276.147477231</x:v>
      </x:c>
      <x:c r="AD38" s="9" t="n">
        <x:v>6192812.212780857</x:v>
      </x:c>
      <x:c r="AE38" s="9" t="n">
        <x:v>657177.5493782724</x:v>
      </x:c>
      <x:c r="AF38" s="9" t="n">
        <x:v>5028951.8926473195</x:v>
      </x:c>
      <x:c r="AG38" s="9" t="n">
        <x:v>2443412.9278038577</x:v>
      </x:c>
      <x:c r="AH38" s="9" t="n">
        <x:v>28583347.420860328</x:v>
      </x:c>
      <x:c r="AI38" s="9" t="n">
        <x:v>20842968.09966555</x:v>
      </x:c>
      <x:c r="AJ38" s="9" t="n">
        <x:v>7183576.845489451</x:v>
      </x:c>
      <x:c r="AK38" s="9" t="n">
        <x:v>899524.9017874519</x:v>
      </x:c>
      <x:c r="AL38" s="9" t="n">
        <x:v>94989.80721607542</x:v>
      </x:c>
      <x:c r="AM38" s="9" t="n">
        <x:v>42524.3821136292</x:v>
      </x:c>
      <x:c r="AN38" s="9" t="n">
        <x:v>202534.31407892006</x:v>
      </x:c>
      <x:c r="AO38" s="9" t="n">
        <x:v>193959.90667095862</x:v>
      </x:c>
      <x:c r="AP38" s="9" t="n">
        <x:v>4049370.533310565</x:v>
      </x:c>
      <x:c r="AQ38" s="9" t="n">
        <x:v>33445.800265334045</x:v>
      </x:c>
      <x:c r="AR38" s="9" t="n">
        <x:v>67878.47382942963</x:v>
      </x:c>
      <x:c r="AS38" s="9" t="n">
        <x:v>265558.4903731493</x:v>
      </x:c>
      <x:c r="AT38" s="9" t="n">
        <x:v>2360.7923785258727</x:v>
      </x:c>
      <x:c r="AU38" s="9" t="n">
        <x:v>795554.3546847879</x:v>
      </x:c>
      <x:c r="AV38" s="9" t="n">
        <x:v>165291.26942107608</x:v>
      </x:c>
      <x:c r="AW38" s="9" t="n">
        <x:v>13938.785825791405</x:v>
      </x:c>
      <x:c r="AX38" s="9" t="n">
        <x:v>134311.317633784</x:v>
      </x:c>
      <x:c r="AY38" s="9" t="n">
        <x:v>12269.239213045365</x:v>
      </x:c>
      <x:c r="AZ38" s="9" t="n">
        <x:v>19916.229050350485</x:v>
      </x:c>
      <x:c r="BA38" s="9" t="n">
        <x:v>5663.910299984973</x:v>
      </x:c>
      <x:c r="BB38" s="9" t="n">
        <x:v>24914718.9555366</x:v>
      </x:c>
      <x:c r="BC38" s="9" t="n">
        <x:v>657963.0674631344</x:v>
      </x:c>
      <x:c r="BD38" s="9" t="n">
        <x:v>20662471.39673302</x:v>
      </x:c>
      <x:c r="BE38" s="9" t="n">
        <x:v>1247485.0822790375</x:v>
      </x:c>
      <x:c r="BF38" s="9" t="n">
        <x:v>2057183.8413587986</x:v>
      </x:c>
      <x:c r="BG38" s="9" t="n">
        <x:v>4899.775539401298</x:v>
      </x:c>
      <x:c r="BH38" s="9" t="n">
        <x:v>24675.948249681645</x:v>
      </x:c>
      <x:c r="BI38" s="9" t="n">
        <x:v>1193650.642223598</x:v>
      </x:c>
      <x:c r="BJ38" s="9" t="n">
        <x:v>4984.202572797254</x:v>
      </x:c>
      <x:c r="BK38" s="9" t="n">
        <x:v>10038.071862816558</x:v>
      </x:c>
      <x:c r="BL38" s="9" t="n">
        <x:v>141555.2456593081</x:v>
      </x:c>
      <x:c r="BM38" s="9" t="n">
        <x:v>0</x:v>
      </x:c>
      <x:c r="BN38" s="9" t="n">
        <x:v>0</x:v>
      </x:c>
      <x:c r="BO38" s="9" t="n">
        <x:v>0</x:v>
      </x:c>
      <x:c r="BP38" s="9" t="n">
        <x:v>0</x:v>
      </x:c>
      <x:c r="BQ38" s="9" t="n">
        <x:v>0</x:v>
      </x:c>
      <x:c r="BR38" s="9" t="n">
        <x:v>0</x:v>
      </x:c>
      <x:c r="BS38" s="9" t="n">
        <x:v>368737216.9143818</x:v>
      </x:c>
      <x:c r="BT38" s="9" t="n">
        <x:v>872106.0695015263</x:v>
      </x:c>
      <x:c r="BU38" s="9" t="n">
        <x:v>300559.7318080565</x:v>
      </x:c>
      <x:c r="BV38" s="9" t="n">
        <x:v>186416649.44084254</x:v>
      </x:c>
      <x:c r="BW38" s="16" t="n">
        <x:f>SUM(B38:BV38)</x:f>
        <x:v>699402882.0849158</x:v>
      </x:c>
    </x:row>
    <x:row r="39" ht="22" customHeight="1">
      <x:c r="A39" s="2" t="str">
        <x:v>S33</x:v>
      </x:c>
      <x:c r="B39" s="9" t="n">
        <x:v>906127.2550016847</x:v>
      </x:c>
      <x:c r="C39" s="9" t="n">
        <x:v>333679.005002496</x:v>
      </x:c>
      <x:c r="D39" s="9" t="n">
        <x:v>1313942.924279119</x:v>
      </x:c>
      <x:c r="E39" s="9" t="n">
        <x:v>11449881.646520441</x:v>
      </x:c>
      <x:c r="F39" s="9" t="n">
        <x:v>21659248.67506141</x:v>
      </x:c>
      <x:c r="G39" s="9" t="n">
        <x:v>9277970.455392849</x:v>
      </x:c>
      <x:c r="H39" s="9" t="n">
        <x:v>1749894.5744914499</x:v>
      </x:c>
      <x:c r="I39" s="9" t="n">
        <x:v>5113176.803432619</x:v>
      </x:c>
      <x:c r="J39" s="9" t="n">
        <x:v>558463.6086749923</x:v>
      </x:c>
      <x:c r="K39" s="9" t="n">
        <x:v>4432963.483538354</x:v>
      </x:c>
      <x:c r="L39" s="9" t="n">
        <x:v>6245924.916429547</x:v>
      </x:c>
      <x:c r="M39" s="9" t="n">
        <x:v>1774944.4256757686</x:v>
      </x:c>
      <x:c r="N39" s="9" t="n">
        <x:v>8592644.94418157</x:v>
      </x:c>
      <x:c r="O39" s="9" t="n">
        <x:v>12708085.518253397</x:v>
      </x:c>
      <x:c r="P39" s="9" t="n">
        <x:v>14349329.31491039</x:v>
      </x:c>
      <x:c r="Q39" s="9" t="n">
        <x:v>7878050.027499534</x:v>
      </x:c>
      <x:c r="R39" s="9" t="n">
        <x:v>2408638.479307482</x:v>
      </x:c>
      <x:c r="S39" s="9" t="n">
        <x:v>6535676.221381481</x:v>
      </x:c>
      <x:c r="T39" s="9" t="n">
        <x:v>6602537.1112082405</x:v>
      </x:c>
      <x:c r="U39" s="9" t="n">
        <x:v>14246042.626053065</x:v>
      </x:c>
      <x:c r="V39" s="9" t="n">
        <x:v>4358281.374793975</x:v>
      </x:c>
      <x:c r="W39" s="9" t="n">
        <x:v>3031454.133535811</x:v>
      </x:c>
      <x:c r="X39" s="9" t="n">
        <x:v>5868353.4349181</x:v>
      </x:c>
      <x:c r="Y39" s="9" t="n">
        <x:v>10959644.49433691</x:v>
      </x:c>
      <x:c r="Z39" s="9" t="n">
        <x:v>200969.58970468366</x:v>
      </x:c>
      <x:c r="AA39" s="9" t="n">
        <x:v>1365901.9428476812</x:v>
      </x:c>
      <x:c r="AB39" s="9" t="n">
        <x:v>22333541.531018615</x:v>
      </x:c>
      <x:c r="AC39" s="9" t="n">
        <x:v>5034620.2105778195</x:v>
      </x:c>
      <x:c r="AD39" s="9" t="n">
        <x:v>116295800.86773998</x:v>
      </x:c>
      <x:c r="AE39" s="9" t="n">
        <x:v>21251405.391725883</x:v>
      </x:c>
      <x:c r="AF39" s="9" t="n">
        <x:v>67018915.86620102</x:v>
      </x:c>
      <x:c r="AG39" s="9" t="n">
        <x:v>43534106.52987868</x:v>
      </x:c>
      <x:c r="AH39" s="9" t="n">
        <x:v>141846052.01959613</x:v>
      </x:c>
      <x:c r="AI39" s="9" t="n">
        <x:v>133119050.9760209</x:v>
      </x:c>
      <x:c r="AJ39" s="9" t="n">
        <x:v>5242379.901986431</x:v>
      </x:c>
      <x:c r="AK39" s="9" t="n">
        <x:v>10461203.205192648</x:v>
      </x:c>
      <x:c r="AL39" s="9" t="n">
        <x:v>105941.23370825141</x:v>
      </x:c>
      <x:c r="AM39" s="9" t="n">
        <x:v>415463.01286338584</x:v>
      </x:c>
      <x:c r="AN39" s="9" t="n">
        <x:v>592629.6244068603</x:v>
      </x:c>
      <x:c r="AO39" s="9" t="n">
        <x:v>752354.2376568916</x:v>
      </x:c>
      <x:c r="AP39" s="9" t="n">
        <x:v>2647184.9107849924</x:v>
      </x:c>
      <x:c r="AQ39" s="9" t="n">
        <x:v>192323.45288570563</x:v>
      </x:c>
      <x:c r="AR39" s="9" t="n">
        <x:v>154558.9301710489</x:v>
      </x:c>
      <x:c r="AS39" s="9" t="n">
        <x:v>8060291.383548739</x:v>
      </x:c>
      <x:c r="AT39" s="9" t="n">
        <x:v>82517.00117236144</x:v>
      </x:c>
      <x:c r="AU39" s="9" t="n">
        <x:v>2117701.5713346205</x:v>
      </x:c>
      <x:c r="AV39" s="9" t="n">
        <x:v>1289863.7657680449</x:v>
      </x:c>
      <x:c r="AW39" s="9" t="n">
        <x:v>204352.5419025971</x:v>
      </x:c>
      <x:c r="AX39" s="9" t="n">
        <x:v>1227496.1923469966</x:v>
      </x:c>
      <x:c r="AY39" s="9" t="n">
        <x:v>471766.1366814677</x:v>
      </x:c>
      <x:c r="AZ39" s="9" t="n">
        <x:v>1929059.9033594097</x:v>
      </x:c>
      <x:c r="BA39" s="9" t="n">
        <x:v>179670.90181988728</x:v>
      </x:c>
      <x:c r="BB39" s="9" t="n">
        <x:v>9607761.376609687</x:v>
      </x:c>
      <x:c r="BC39" s="9" t="n">
        <x:v>1688197.8553299173</x:v>
      </x:c>
      <x:c r="BD39" s="9" t="n">
        <x:v>10075010.951685216</x:v>
      </x:c>
      <x:c r="BE39" s="9" t="n">
        <x:v>492790.05700352165</x:v>
      </x:c>
      <x:c r="BF39" s="9" t="n">
        <x:v>921292.5128618473</x:v>
      </x:c>
      <x:c r="BG39" s="9" t="n">
        <x:v>85813.48206289316</x:v>
      </x:c>
      <x:c r="BH39" s="9" t="n">
        <x:v>240725.5184444991</x:v>
      </x:c>
      <x:c r="BI39" s="9" t="n">
        <x:v>764453.4669087237</x:v>
      </x:c>
      <x:c r="BJ39" s="9" t="n">
        <x:v>116790.76424173705</x:v>
      </x:c>
      <x:c r="BK39" s="9" t="n">
        <x:v>123590.19288975695</x:v>
      </x:c>
      <x:c r="BL39" s="9" t="n">
        <x:v>323248.4382899624</x:v>
      </x:c>
      <x:c r="BM39" s="9" t="n">
        <x:v>0</x:v>
      </x:c>
      <x:c r="BN39" s="9" t="n">
        <x:v>0</x:v>
      </x:c>
      <x:c r="BO39" s="9" t="n">
        <x:v>0</x:v>
      </x:c>
      <x:c r="BP39" s="9" t="n">
        <x:v>0</x:v>
      </x:c>
      <x:c r="BQ39" s="9" t="n">
        <x:v>0</x:v>
      </x:c>
      <x:c r="BR39" s="9" t="n">
        <x:v>0</x:v>
      </x:c>
      <x:c r="BS39" s="9" t="n">
        <x:v>65653326.035933755</x:v>
      </x:c>
      <x:c r="BT39" s="9" t="n">
        <x:v>18093305.192425106</x:v>
      </x:c>
      <x:c r="BU39" s="9" t="n">
        <x:v>3768038.102827282</x:v>
      </x:c>
      <x:c r="BV39" s="9" t="n">
        <x:v>128937550.0641428</x:v>
      </x:c>
      <x:c r="BW39" s="16" t="n">
        <x:f>SUM(B39:BV39)</x:f>
        <x:v>991373972.2984393</x:v>
      </x:c>
    </x:row>
    <x:row r="40" ht="22" customHeight="1">
      <x:c r="A40" s="2" t="str">
        <x:v>S34</x:v>
      </x:c>
      <x:c r="B40" s="9" t="n">
        <x:v>51196.18121945116</x:v>
      </x:c>
      <x:c r="C40" s="9" t="n">
        <x:v>82951.39918813184</x:v>
      </x:c>
      <x:c r="D40" s="9" t="n">
        <x:v>2101.222959383865</x:v>
      </x:c>
      <x:c r="E40" s="9" t="n">
        <x:v>207845.9147865087</x:v>
      </x:c>
      <x:c r="F40" s="9" t="n">
        <x:v>872473.5586844642</x:v>
      </x:c>
      <x:c r="G40" s="9" t="n">
        <x:v>2814648.4990372346</x:v>
      </x:c>
      <x:c r="H40" s="9" t="n">
        <x:v>150268.21767943585</x:v>
      </x:c>
      <x:c r="I40" s="9" t="n">
        <x:v>312325.8818170435</x:v>
      </x:c>
      <x:c r="J40" s="9" t="n">
        <x:v>286227.25936564285</x:v>
      </x:c>
      <x:c r="K40" s="9" t="n">
        <x:v>23982.417694384698</x:v>
      </x:c>
      <x:c r="L40" s="9" t="n">
        <x:v>570765.4132621873</x:v>
      </x:c>
      <x:c r="M40" s="9" t="n">
        <x:v>116469.85534070172</x:v>
      </x:c>
      <x:c r="N40" s="9" t="n">
        <x:v>570242.8588239256</x:v>
      </x:c>
      <x:c r="O40" s="9" t="n">
        <x:v>425748.0292073837</x:v>
      </x:c>
      <x:c r="P40" s="9" t="n">
        <x:v>246877.8214002769</x:v>
      </x:c>
      <x:c r="Q40" s="9" t="n">
        <x:v>677594.2270105976</x:v>
      </x:c>
      <x:c r="R40" s="9" t="n">
        <x:v>184224.11055550852</x:v>
      </x:c>
      <x:c r="S40" s="9" t="n">
        <x:v>484632.2335246975</x:v>
      </x:c>
      <x:c r="T40" s="9" t="n">
        <x:v>747452.5951512824</x:v>
      </x:c>
      <x:c r="U40" s="9" t="n">
        <x:v>643777.354652472</x:v>
      </x:c>
      <x:c r="V40" s="9" t="n">
        <x:v>269306.24533103494</x:v>
      </x:c>
      <x:c r="W40" s="9" t="n">
        <x:v>1096010.3089148498</x:v>
      </x:c>
      <x:c r="X40" s="9" t="n">
        <x:v>332452.43089573254</x:v>
      </x:c>
      <x:c r="Y40" s="9" t="n">
        <x:v>700836.6980753933</x:v>
      </x:c>
      <x:c r="Z40" s="9" t="n">
        <x:v>53475.651414235705</x:v>
      </x:c>
      <x:c r="AA40" s="9" t="n">
        <x:v>73111.70607148545</x:v>
      </x:c>
      <x:c r="AB40" s="9" t="n">
        <x:v>1810703.3181004482</x:v>
      </x:c>
      <x:c r="AC40" s="9" t="n">
        <x:v>910347.783235634</x:v>
      </x:c>
      <x:c r="AD40" s="9" t="n">
        <x:v>22339227.568607956</x:v>
      </x:c>
      <x:c r="AE40" s="9" t="n">
        <x:v>27518284.67173881</x:v>
      </x:c>
      <x:c r="AF40" s="9" t="n">
        <x:v>3944202.540561055</x:v>
      </x:c>
      <x:c r="AG40" s="9" t="n">
        <x:v>154876.14311458773</x:v>
      </x:c>
      <x:c r="AH40" s="9" t="n">
        <x:v>303394.6782444386</x:v>
      </x:c>
      <x:c r="AI40" s="9" t="n">
        <x:v>2505586.922345499</x:v>
      </x:c>
      <x:c r="AJ40" s="9" t="n">
        <x:v>18815365.931254815</x:v>
      </x:c>
      <x:c r="AK40" s="9" t="n">
        <x:v>4448031.3746525245</x:v>
      </x:c>
      <x:c r="AL40" s="9" t="n">
        <x:v>331602.02563727484</x:v>
      </x:c>
      <x:c r="AM40" s="9" t="n">
        <x:v>69902.2261622578</x:v>
      </x:c>
      <x:c r="AN40" s="9" t="n">
        <x:v>792068.0096690612</x:v>
      </x:c>
      <x:c r="AO40" s="9" t="n">
        <x:v>731265.7418224874</x:v>
      </x:c>
      <x:c r="AP40" s="9" t="n">
        <x:v>2345216.540201416</x:v>
      </x:c>
      <x:c r="AQ40" s="9" t="n">
        <x:v>125760.61009481634</x:v>
      </x:c>
      <x:c r="AR40" s="9" t="n">
        <x:v>1227300.4985530404</x:v>
      </x:c>
      <x:c r="AS40" s="9" t="n">
        <x:v>489246.88483652123</x:v>
      </x:c>
      <x:c r="AT40" s="9" t="n">
        <x:v>20602.55674002819</x:v>
      </x:c>
      <x:c r="AU40" s="9" t="n">
        <x:v>753090.9106786259</x:v>
      </x:c>
      <x:c r="AV40" s="9" t="n">
        <x:v>286760.6892980453</x:v>
      </x:c>
      <x:c r="AW40" s="9" t="n">
        <x:v>14551.791581351423</x:v>
      </x:c>
      <x:c r="AX40" s="9" t="n">
        <x:v>388524.9479940967</x:v>
      </x:c>
      <x:c r="AY40" s="9" t="n">
        <x:v>206691.68768329395</x:v>
      </x:c>
      <x:c r="AZ40" s="9" t="n">
        <x:v>534328.5949453558</x:v>
      </x:c>
      <x:c r="BA40" s="9" t="n">
        <x:v>123647.8476752731</x:v>
      </x:c>
      <x:c r="BB40" s="9" t="n">
        <x:v>161736.25051115977</x:v>
      </x:c>
      <x:c r="BC40" s="9" t="n">
        <x:v>551226.2799569009</x:v>
      </x:c>
      <x:c r="BD40" s="9" t="n">
        <x:v>3610856.5928806937</x:v>
      </x:c>
      <x:c r="BE40" s="9" t="n">
        <x:v>968720.7050429914</x:v>
      </x:c>
      <x:c r="BF40" s="9" t="n">
        <x:v>514822.40525776654</x:v>
      </x:c>
      <x:c r="BG40" s="9" t="n">
        <x:v>17766.261975062152</x:v>
      </x:c>
      <x:c r="BH40" s="9" t="n">
        <x:v>299437.6955317948</x:v>
      </x:c>
      <x:c r="BI40" s="9" t="n">
        <x:v>205077.06937110293</x:v>
      </x:c>
      <x:c r="BJ40" s="9" t="n">
        <x:v>75189.67985645024</x:v>
      </x:c>
      <x:c r="BK40" s="9" t="n">
        <x:v>247528.6770234089</x:v>
      </x:c>
      <x:c r="BL40" s="9" t="n">
        <x:v>261035.75087141525</x:v>
      </x:c>
      <x:c r="BM40" s="9" t="n">
        <x:v>0</x:v>
      </x:c>
      <x:c r="BN40" s="9" t="n">
        <x:v>0</x:v>
      </x:c>
      <x:c r="BO40" s="9" t="n">
        <x:v>0</x:v>
      </x:c>
      <x:c r="BP40" s="9" t="n">
        <x:v>0</x:v>
      </x:c>
      <x:c r="BQ40" s="9" t="n">
        <x:v>0</x:v>
      </x:c>
      <x:c r="BR40" s="9" t="n">
        <x:v>0</x:v>
      </x:c>
      <x:c r="BS40" s="9" t="n">
        <x:v>59365716.594651036</x:v>
      </x:c>
      <x:c r="BT40" s="9" t="n">
        <x:v>359609.5501698368</x:v>
      </x:c>
      <x:c r="BU40" s="9" t="n">
        <x:v>532766.6705344856</x:v>
      </x:c>
      <x:c r="BV40" s="9" t="n">
        <x:v>2332644.248765287</x:v>
      </x:c>
      <x:c r="BW40" s="16" t="n">
        <x:f>SUM(B40:BV40)</x:f>
        <x:v>172691715.01989156</x:v>
      </x:c>
    </x:row>
    <x:row r="41" ht="22" customHeight="1">
      <x:c r="A41" s="2" t="str">
        <x:v>S35</x:v>
      </x:c>
      <x:c r="B41" s="9" t="n">
        <x:v>1239723.448326556</x:v>
      </x:c>
      <x:c r="C41" s="9" t="n">
        <x:v>149975.3084308972</x:v>
      </x:c>
      <x:c r="D41" s="9" t="n">
        <x:v>39029.01197470297</x:v>
      </x:c>
      <x:c r="E41" s="9" t="n">
        <x:v>1174550.8380528034</x:v>
      </x:c>
      <x:c r="F41" s="9" t="n">
        <x:v>6505913.658366277</x:v>
      </x:c>
      <x:c r="G41" s="9" t="n">
        <x:v>3359013.928067998</x:v>
      </x:c>
      <x:c r="H41" s="9" t="n">
        <x:v>304296.74201141077</x:v>
      </x:c>
      <x:c r="I41" s="9" t="n">
        <x:v>799392.1326788137</x:v>
      </x:c>
      <x:c r="J41" s="9" t="n">
        <x:v>312525.5552605008</x:v>
      </x:c>
      <x:c r="K41" s="9" t="n">
        <x:v>260014.98629970202</x:v>
      </x:c>
      <x:c r="L41" s="9" t="n">
        <x:v>827565.3691912853</x:v>
      </x:c>
      <x:c r="M41" s="9" t="n">
        <x:v>338203.2504344424</x:v>
      </x:c>
      <x:c r="N41" s="9" t="n">
        <x:v>1246066.0456687056</x:v>
      </x:c>
      <x:c r="O41" s="9" t="n">
        <x:v>1557420.0424443025</x:v>
      </x:c>
      <x:c r="P41" s="9" t="n">
        <x:v>1158417.1207061969</x:v>
      </x:c>
      <x:c r="Q41" s="9" t="n">
        <x:v>1838146.9562621864</x:v>
      </x:c>
      <x:c r="R41" s="9" t="n">
        <x:v>432047.85620309814</x:v>
      </x:c>
      <x:c r="S41" s="9" t="n">
        <x:v>1167310.2257091678</x:v>
      </x:c>
      <x:c r="T41" s="9" t="n">
        <x:v>1804392.320123662</x:v>
      </x:c>
      <x:c r="U41" s="9" t="n">
        <x:v>2143416.796718635</x:v>
      </x:c>
      <x:c r="V41" s="9" t="n">
        <x:v>922085.920754142</x:v>
      </x:c>
      <x:c r="W41" s="9" t="n">
        <x:v>1168487.7705895058</x:v>
      </x:c>
      <x:c r="X41" s="9" t="n">
        <x:v>1150145.6447694679</x:v>
      </x:c>
      <x:c r="Y41" s="9" t="n">
        <x:v>2064786.2233242306</x:v>
      </x:c>
      <x:c r="Z41" s="9" t="n">
        <x:v>333131.858495881</x:v>
      </x:c>
      <x:c r="AA41" s="9" t="n">
        <x:v>393429.1707276813</x:v>
      </x:c>
      <x:c r="AB41" s="9" t="n">
        <x:v>18556164.957025398</x:v>
      </x:c>
      <x:c r="AC41" s="9" t="n">
        <x:v>1709635.57540858</x:v>
      </x:c>
      <x:c r="AD41" s="9" t="n">
        <x:v>11929730.83356682</x:v>
      </x:c>
      <x:c r="AE41" s="9" t="n">
        <x:v>5292477.777936075</x:v>
      </x:c>
      <x:c r="AF41" s="9" t="n">
        <x:v>5350451.689280142</x:v>
      </x:c>
      <x:c r="AG41" s="9" t="n">
        <x:v>870906.1114704248</x:v>
      </x:c>
      <x:c r="AH41" s="9" t="n">
        <x:v>4624107.115404824</x:v>
      </x:c>
      <x:c r="AI41" s="9" t="n">
        <x:v>2268844.581310319</x:v>
      </x:c>
      <x:c r="AJ41" s="9" t="n">
        <x:v>712775.2922950546</x:v>
      </x:c>
      <x:c r="AK41" s="9" t="n">
        <x:v>38907044.24868646</x:v>
      </x:c>
      <x:c r="AL41" s="9" t="n">
        <x:v>268478.0339284049</x:v>
      </x:c>
      <x:c r="AM41" s="9" t="n">
        <x:v>764397.8844987354</x:v>
      </x:c>
      <x:c r="AN41" s="9" t="n">
        <x:v>541830.532123831</x:v>
      </x:c>
      <x:c r="AO41" s="9" t="n">
        <x:v>1054105.5952049927</x:v>
      </x:c>
      <x:c r="AP41" s="9" t="n">
        <x:v>1675187.890167599</x:v>
      </x:c>
      <x:c r="AQ41" s="9" t="n">
        <x:v>164471.99933330834</x:v>
      </x:c>
      <x:c r="AR41" s="9" t="n">
        <x:v>620048.7298181183</x:v>
      </x:c>
      <x:c r="AS41" s="9" t="n">
        <x:v>4156300.9064665255</x:v>
      </x:c>
      <x:c r="AT41" s="9" t="n">
        <x:v>96990.22690086818</x:v>
      </x:c>
      <x:c r="AU41" s="9" t="n">
        <x:v>3096996.8340338003</x:v>
      </x:c>
      <x:c r="AV41" s="9" t="n">
        <x:v>1276337.6457447994</x:v>
      </x:c>
      <x:c r="AW41" s="9" t="n">
        <x:v>46436.18945148729</x:v>
      </x:c>
      <x:c r="AX41" s="9" t="n">
        <x:v>1304669.4887412966</x:v>
      </x:c>
      <x:c r="AY41" s="9" t="n">
        <x:v>748982.6151684615</x:v>
      </x:c>
      <x:c r="AZ41" s="9" t="n">
        <x:v>713522.2495406371</x:v>
      </x:c>
      <x:c r="BA41" s="9" t="n">
        <x:v>166949.1384981984</x:v>
      </x:c>
      <x:c r="BB41" s="9" t="n">
        <x:v>89460050.17335215</x:v>
      </x:c>
      <x:c r="BC41" s="9" t="n">
        <x:v>7969641.755992515</x:v>
      </x:c>
      <x:c r="BD41" s="9" t="n">
        <x:v>5789184.688095613</x:v>
      </x:c>
      <x:c r="BE41" s="9" t="n">
        <x:v>2241944.2655151845</x:v>
      </x:c>
      <x:c r="BF41" s="9" t="n">
        <x:v>2136155.445437036</x:v>
      </x:c>
      <x:c r="BG41" s="9" t="n">
        <x:v>338905.2897744627</x:v>
      </x:c>
      <x:c r="BH41" s="9" t="n">
        <x:v>496936.5112333389</x:v>
      </x:c>
      <x:c r="BI41" s="9" t="n">
        <x:v>1663743.3551609041</x:v>
      </x:c>
      <x:c r="BJ41" s="9" t="n">
        <x:v>1109679.5389050595</x:v>
      </x:c>
      <x:c r="BK41" s="9" t="n">
        <x:v>123442.14880549403</x:v>
      </x:c>
      <x:c r="BL41" s="9" t="n">
        <x:v>217827.16353453544</x:v>
      </x:c>
      <x:c r="BM41" s="9" t="n">
        <x:v>0</x:v>
      </x:c>
      <x:c r="BN41" s="9" t="n">
        <x:v>0</x:v>
      </x:c>
      <x:c r="BO41" s="9" t="n">
        <x:v>0</x:v>
      </x:c>
      <x:c r="BP41" s="9" t="n">
        <x:v>0</x:v>
      </x:c>
      <x:c r="BQ41" s="9" t="n">
        <x:v>0</x:v>
      </x:c>
      <x:c r="BR41" s="9" t="n">
        <x:v>0</x:v>
      </x:c>
      <x:c r="BS41" s="9" t="n">
        <x:v>1395485729.0614781</x:v>
      </x:c>
      <x:c r="BT41" s="9" t="n">
        <x:v>1893543.9330112885</x:v>
      </x:c>
      <x:c r="BU41" s="9" t="n">
        <x:v>5763462.3599799825</x:v>
      </x:c>
      <x:c r="BV41" s="9" t="n">
        <x:v>67910182.00461574</x:v>
      </x:c>
      <x:c r="BW41" s="16" t="n">
        <x:f>SUM(B41:BV41)</x:f>
        <x:v>1722207760.0184886</x:v>
      </x:c>
    </x:row>
    <x:row r="42" ht="22" customHeight="1">
      <x:c r="A42" s="2" t="str">
        <x:v>S36</x:v>
      </x:c>
      <x:c r="B42" s="9" t="n">
        <x:v>52079.96984323269</x:v>
      </x:c>
      <x:c r="C42" s="9" t="n">
        <x:v>8729.958494491973</x:v>
      </x:c>
      <x:c r="D42" s="9" t="n">
        <x:v>8760.276017547616</x:v>
      </x:c>
      <x:c r="E42" s="9" t="n">
        <x:v>218410.37720766274</x:v>
      </x:c>
      <x:c r="F42" s="9" t="n">
        <x:v>774122.9506650446</x:v>
      </x:c>
      <x:c r="G42" s="9" t="n">
        <x:v>648309.1518969971</x:v>
      </x:c>
      <x:c r="H42" s="9" t="n">
        <x:v>60331.060749090524</x:v>
      </x:c>
      <x:c r="I42" s="9" t="n">
        <x:v>457247.70317744446</x:v>
      </x:c>
      <x:c r="J42" s="9" t="n">
        <x:v>738626.2571871917</x:v>
      </x:c>
      <x:c r="K42" s="9" t="n">
        <x:v>305269.99619419285</x:v>
      </x:c>
      <x:c r="L42" s="9" t="n">
        <x:v>469448.67355935235</x:v>
      </x:c>
      <x:c r="M42" s="9" t="n">
        <x:v>124442.4162266015</x:v>
      </x:c>
      <x:c r="N42" s="9" t="n">
        <x:v>594853.0091741948</x:v>
      </x:c>
      <x:c r="O42" s="9" t="n">
        <x:v>364807.8715796936</x:v>
      </x:c>
      <x:c r="P42" s="9" t="n">
        <x:v>281760.0190244388</x:v>
      </x:c>
      <x:c r="Q42" s="9" t="n">
        <x:v>410317.68968608696</x:v>
      </x:c>
      <x:c r="R42" s="9" t="n">
        <x:v>754317.6097092647</x:v>
      </x:c>
      <x:c r="S42" s="9" t="n">
        <x:v>857610.0494728986</x:v>
      </x:c>
      <x:c r="T42" s="9" t="n">
        <x:v>585866.117454774</x:v>
      </x:c>
      <x:c r="U42" s="9" t="n">
        <x:v>1323415.616426331</x:v>
      </x:c>
      <x:c r="V42" s="9" t="n">
        <x:v>921616.1391923085</x:v>
      </x:c>
      <x:c r="W42" s="9" t="n">
        <x:v>682647.6917937296</x:v>
      </x:c>
      <x:c r="X42" s="9" t="n">
        <x:v>312172.87050740776</x:v>
      </x:c>
      <x:c r="Y42" s="9" t="n">
        <x:v>446951.81342475594</x:v>
      </x:c>
      <x:c r="Z42" s="9" t="n">
        <x:v>40654.25737580321</x:v>
      </x:c>
      <x:c r="AA42" s="9" t="n">
        <x:v>46684.89216681778</x:v>
      </x:c>
      <x:c r="AB42" s="9" t="n">
        <x:v>2175692.8868061025</x:v>
      </x:c>
      <x:c r="AC42" s="9" t="n">
        <x:v>385117.782796765</x:v>
      </x:c>
      <x:c r="AD42" s="9" t="n">
        <x:v>7542957.866547355</x:v>
      </x:c>
      <x:c r="AE42" s="9" t="n">
        <x:v>9032913.852626415</x:v>
      </x:c>
      <x:c r="AF42" s="9" t="n">
        <x:v>724912.794084177</x:v>
      </x:c>
      <x:c r="AG42" s="9" t="n">
        <x:v>146282.0925710633</x:v>
      </x:c>
      <x:c r="AH42" s="9" t="n">
        <x:v>1002084.80626827</x:v>
      </x:c>
      <x:c r="AI42" s="9" t="n">
        <x:v>521740.38192979596</x:v>
      </x:c>
      <x:c r="AJ42" s="9" t="n">
        <x:v>411473.03859018063</x:v>
      </x:c>
      <x:c r="AK42" s="9" t="n">
        <x:v>1261619.6490590333</x:v>
      </x:c>
      <x:c r="AL42" s="9" t="n">
        <x:v>2722886.11714811</x:v>
      </x:c>
      <x:c r="AM42" s="9" t="n">
        <x:v>605490.5865867884</x:v>
      </x:c>
      <x:c r="AN42" s="9" t="n">
        <x:v>906180.3134864155</x:v>
      </x:c>
      <x:c r="AO42" s="9" t="n">
        <x:v>6938224.154369171</x:v>
      </x:c>
      <x:c r="AP42" s="9" t="n">
        <x:v>1429819.9700876935</x:v>
      </x:c>
      <x:c r="AQ42" s="9" t="n">
        <x:v>98192.54352781795</x:v>
      </x:c>
      <x:c r="AR42" s="9" t="n">
        <x:v>971439.4231548983</x:v>
      </x:c>
      <x:c r="AS42" s="9" t="n">
        <x:v>375976.46078138705</x:v>
      </x:c>
      <x:c r="AT42" s="9" t="n">
        <x:v>5542.037631952854</x:v>
      </x:c>
      <x:c r="AU42" s="9" t="n">
        <x:v>1498192.5496681912</x:v>
      </x:c>
      <x:c r="AV42" s="9" t="n">
        <x:v>530843.075210444</x:v>
      </x:c>
      <x:c r="AW42" s="9" t="n">
        <x:v>116836.96827038104</x:v>
      </x:c>
      <x:c r="AX42" s="9" t="n">
        <x:v>2633622.2500645495</x:v>
      </x:c>
      <x:c r="AY42" s="9" t="n">
        <x:v>134147.3977245427</x:v>
      </x:c>
      <x:c r="AZ42" s="9" t="n">
        <x:v>195118.94284649164</x:v>
      </x:c>
      <x:c r="BA42" s="9" t="n">
        <x:v>59940.49281292538</x:v>
      </x:c>
      <x:c r="BB42" s="9" t="n">
        <x:v>188406.18800923706</x:v>
      </x:c>
      <x:c r="BC42" s="9" t="n">
        <x:v>841551.8425302637</x:v>
      </x:c>
      <x:c r="BD42" s="9" t="n">
        <x:v>3340058.0757030756</x:v>
      </x:c>
      <x:c r="BE42" s="9" t="n">
        <x:v>2998530.6384464093</x:v>
      </x:c>
      <x:c r="BF42" s="9" t="n">
        <x:v>853763.0263341422</x:v>
      </x:c>
      <x:c r="BG42" s="9" t="n">
        <x:v>51550.93149889835</x:v>
      </x:c>
      <x:c r="BH42" s="9" t="n">
        <x:v>615639.4649147476</x:v>
      </x:c>
      <x:c r="BI42" s="9" t="n">
        <x:v>105261.87920438108</x:v>
      </x:c>
      <x:c r="BJ42" s="9" t="n">
        <x:v>55854.39359334277</x:v>
      </x:c>
      <x:c r="BK42" s="9" t="n">
        <x:v>321658.74466098996</x:v>
      </x:c>
      <x:c r="BL42" s="9" t="n">
        <x:v>52473.99751233011</x:v>
      </x:c>
      <x:c r="BM42" s="9" t="n">
        <x:v>0</x:v>
      </x:c>
      <x:c r="BN42" s="9" t="n">
        <x:v>0</x:v>
      </x:c>
      <x:c r="BO42" s="9" t="n">
        <x:v>0</x:v>
      </x:c>
      <x:c r="BP42" s="9" t="n">
        <x:v>0</x:v>
      </x:c>
      <x:c r="BQ42" s="9" t="n">
        <x:v>0</x:v>
      </x:c>
      <x:c r="BR42" s="9" t="n">
        <x:v>0</x:v>
      </x:c>
      <x:c r="BS42" s="9" t="n">
        <x:v>34883638.01465768</x:v>
      </x:c>
      <x:c r="BT42" s="9" t="n">
        <x:v>2508954.1604631995</x:v>
      </x:c>
      <x:c r="BU42" s="9" t="n">
        <x:v>4099269.8191502686</x:v>
      </x:c>
      <x:c r="BV42" s="9" t="n">
        <x:v>10131582.56265763</x:v>
      </x:c>
      <x:c r="BW42" s="16" t="n">
        <x:f>SUM(B42:BV42)</x:f>
        <x:v>114964896.61219487</x:v>
      </x:c>
    </x:row>
    <x:row r="43" ht="22" customHeight="1">
      <x:c r="A43" s="2" t="str">
        <x:v>S37</x:v>
      </x:c>
      <x:c r="B43" s="9" t="n">
        <x:v>38266.00911329601</x:v>
      </x:c>
      <x:c r="C43" s="9" t="n">
        <x:v>1794.5109611366197</x:v>
      </x:c>
      <x:c r="D43" s="9" t="n">
        <x:v>397.24386187825223</x:v>
      </x:c>
      <x:c r="E43" s="9" t="n">
        <x:v>54382.64976658615</x:v>
      </x:c>
      <x:c r="F43" s="9" t="n">
        <x:v>410444.4551536894</x:v>
      </x:c>
      <x:c r="G43" s="9" t="n">
        <x:v>245560.5070046453</x:v>
      </x:c>
      <x:c r="H43" s="9" t="n">
        <x:v>15518.131737600212</x:v>
      </x:c>
      <x:c r="I43" s="9" t="n">
        <x:v>55815.71495251565</x:v>
      </x:c>
      <x:c r="J43" s="9" t="n">
        <x:v>157189.27764997038</x:v>
      </x:c>
      <x:c r="K43" s="9" t="n">
        <x:v>13174.30454307936</x:v>
      </x:c>
      <x:c r="L43" s="9" t="n">
        <x:v>101159.43133904797</x:v>
      </x:c>
      <x:c r="M43" s="9" t="n">
        <x:v>31766.01789293265</x:v>
      </x:c>
      <x:c r="N43" s="9" t="n">
        <x:v>75099.94420638088</x:v>
      </x:c>
      <x:c r="O43" s="9" t="n">
        <x:v>110546.26314983181</x:v>
      </x:c>
      <x:c r="P43" s="9" t="n">
        <x:v>50808.94192439541</x:v>
      </x:c>
      <x:c r="Q43" s="9" t="n">
        <x:v>78002.80761593881</x:v>
      </x:c>
      <x:c r="R43" s="9" t="n">
        <x:v>234760.50708284636</x:v>
      </x:c>
      <x:c r="S43" s="9" t="n">
        <x:v>425917.46872774337</x:v>
      </x:c>
      <x:c r="T43" s="9" t="n">
        <x:v>176837.98903397113</x:v>
      </x:c>
      <x:c r="U43" s="9" t="n">
        <x:v>223035.97728994951</x:v>
      </x:c>
      <x:c r="V43" s="9" t="n">
        <x:v>198891.4998207527</x:v>
      </x:c>
      <x:c r="W43" s="9" t="n">
        <x:v>159350.59939619852</x:v>
      </x:c>
      <x:c r="X43" s="9" t="n">
        <x:v>112894.05277170017</x:v>
      </x:c>
      <x:c r="Y43" s="9" t="n">
        <x:v>131442.54915501713</x:v>
      </x:c>
      <x:c r="Z43" s="9" t="n">
        <x:v>14444.503335327638</x:v>
      </x:c>
      <x:c r="AA43" s="9" t="n">
        <x:v>23539.632880764413</x:v>
      </x:c>
      <x:c r="AB43" s="9" t="n">
        <x:v>1350670.546840296</x:v>
      </x:c>
      <x:c r="AC43" s="9" t="n">
        <x:v>109202.11920850581</x:v>
      </x:c>
      <x:c r="AD43" s="9" t="n">
        <x:v>5501115.386876871</x:v>
      </x:c>
      <x:c r="AE43" s="9" t="n">
        <x:v>1917874.8556016204</x:v>
      </x:c>
      <x:c r="AF43" s="9" t="n">
        <x:v>240661.1283230935</x:v>
      </x:c>
      <x:c r="AG43" s="9" t="n">
        <x:v>60552.52638939653</x:v>
      </x:c>
      <x:c r="AH43" s="9" t="n">
        <x:v>184490.5614316786</x:v>
      </x:c>
      <x:c r="AI43" s="9" t="n">
        <x:v>126431.83509525609</x:v>
      </x:c>
      <x:c r="AJ43" s="9" t="n">
        <x:v>43222.57829841146</x:v>
      </x:c>
      <x:c r="AK43" s="9" t="n">
        <x:v>578605.4002964962</x:v>
      </x:c>
      <x:c r="AL43" s="9" t="n">
        <x:v>750740.8479054228</x:v>
      </x:c>
      <x:c r="AM43" s="9" t="n">
        <x:v>18538795.49437731</x:v>
      </x:c>
      <x:c r="AN43" s="9" t="n">
        <x:v>1486057.9347632874</x:v>
      </x:c>
      <x:c r="AO43" s="9" t="n">
        <x:v>1585447.666371644</x:v>
      </x:c>
      <x:c r="AP43" s="9" t="n">
        <x:v>1629921.1194628612</x:v>
      </x:c>
      <x:c r="AQ43" s="9" t="n">
        <x:v>78360.54566795948</x:v>
      </x:c>
      <x:c r="AR43" s="9" t="n">
        <x:v>372450.878348275</x:v>
      </x:c>
      <x:c r="AS43" s="9" t="n">
        <x:v>496238.6698868865</x:v>
      </x:c>
      <x:c r="AT43" s="9" t="n">
        <x:v>8693.011657065303</x:v>
      </x:c>
      <x:c r="AU43" s="9" t="n">
        <x:v>1502901.1587643886</x:v>
      </x:c>
      <x:c r="AV43" s="9" t="n">
        <x:v>148492.26056070355</x:v>
      </x:c>
      <x:c r="AW43" s="9" t="n">
        <x:v>83828.30347589208</x:v>
      </x:c>
      <x:c r="AX43" s="9" t="n">
        <x:v>24019316.365568407</x:v>
      </x:c>
      <x:c r="AY43" s="9" t="n">
        <x:v>330922.01195623644</x:v>
      </x:c>
      <x:c r="AZ43" s="9" t="n">
        <x:v>2573421.6256120764</x:v>
      </x:c>
      <x:c r="BA43" s="9" t="n">
        <x:v>20263.216248271256</x:v>
      </x:c>
      <x:c r="BB43" s="9" t="n">
        <x:v>666913.3315783453</x:v>
      </x:c>
      <x:c r="BC43" s="9" t="n">
        <x:v>648440.6108389823</x:v>
      </x:c>
      <x:c r="BD43" s="9" t="n">
        <x:v>823187.8363555752</x:v>
      </x:c>
      <x:c r="BE43" s="9" t="n">
        <x:v>139816.78541005807</x:v>
      </x:c>
      <x:c r="BF43" s="9" t="n">
        <x:v>317293.0866123788</x:v>
      </x:c>
      <x:c r="BG43" s="9" t="n">
        <x:v>57160.61761213906</x:v>
      </x:c>
      <x:c r="BH43" s="9" t="n">
        <x:v>2029151.3772597103</x:v>
      </x:c>
      <x:c r="BI43" s="9" t="n">
        <x:v>148912.17814891122</x:v>
      </x:c>
      <x:c r="BJ43" s="9" t="n">
        <x:v>474048.8794123482</x:v>
      </x:c>
      <x:c r="BK43" s="9" t="n">
        <x:v>33101.933824550164</x:v>
      </x:c>
      <x:c r="BL43" s="9" t="n">
        <x:v>41627.35355009857</x:v>
      </x:c>
      <x:c r="BM43" s="9" t="n">
        <x:v>0</x:v>
      </x:c>
      <x:c r="BN43" s="9" t="n">
        <x:v>0</x:v>
      </x:c>
      <x:c r="BO43" s="9" t="n">
        <x:v>0</x:v>
      </x:c>
      <x:c r="BP43" s="9" t="n">
        <x:v>0</x:v>
      </x:c>
      <x:c r="BQ43" s="9" t="n">
        <x:v>0</x:v>
      </x:c>
      <x:c r="BR43" s="9" t="n">
        <x:v>0</x:v>
      </x:c>
      <x:c r="BS43" s="9" t="n">
        <x:v>34538152.56761561</x:v>
      </x:c>
      <x:c r="BT43" s="9" t="n">
        <x:v>15846825.286919994</x:v>
      </x:c>
      <x:c r="BU43" s="9" t="n">
        <x:v>1174999.2783589626</x:v>
      </x:c>
      <x:c r="BV43" s="9" t="n">
        <x:v>14285139.761402784</x:v>
      </x:c>
      <x:c r="BW43" s="16" t="n">
        <x:f>SUM(B43:BV43)</x:f>
        <x:v>138104489.924256</x:v>
      </x:c>
    </x:row>
    <x:row r="44" ht="22" customHeight="1">
      <x:c r="A44" s="2" t="str">
        <x:v>S38</x:v>
      </x:c>
      <x:c r="B44" s="9" t="n">
        <x:v>224943.9430855753</x:v>
      </x:c>
      <x:c r="C44" s="9" t="n">
        <x:v>179313.92595546506</x:v>
      </x:c>
      <x:c r="D44" s="9" t="n">
        <x:v>63346.664413387785</x:v>
      </x:c>
      <x:c r="E44" s="9" t="n">
        <x:v>540306.226499479</x:v>
      </x:c>
      <x:c r="F44" s="9" t="n">
        <x:v>1004229.9342580303</x:v>
      </x:c>
      <x:c r="G44" s="9" t="n">
        <x:v>1515777.192288927</x:v>
      </x:c>
      <x:c r="H44" s="9" t="n">
        <x:v>113018.04929059878</x:v>
      </x:c>
      <x:c r="I44" s="9" t="n">
        <x:v>197321.74546811948</x:v>
      </x:c>
      <x:c r="J44" s="9" t="n">
        <x:v>156161.10156964068</x:v>
      </x:c>
      <x:c r="K44" s="9" t="n">
        <x:v>501852.22578543104</x:v>
      </x:c>
      <x:c r="L44" s="9" t="n">
        <x:v>212852.06980536273</x:v>
      </x:c>
      <x:c r="M44" s="9" t="n">
        <x:v>98022.45036420415</x:v>
      </x:c>
      <x:c r="N44" s="9" t="n">
        <x:v>527856.6012602855</x:v>
      </x:c>
      <x:c r="O44" s="9" t="n">
        <x:v>485183.004023797</x:v>
      </x:c>
      <x:c r="P44" s="9" t="n">
        <x:v>453606.8171408507</x:v>
      </x:c>
      <x:c r="Q44" s="9" t="n">
        <x:v>791369.5315370295</x:v>
      </x:c>
      <x:c r="R44" s="9" t="n">
        <x:v>420919.7958928168</x:v>
      </x:c>
      <x:c r="S44" s="9" t="n">
        <x:v>979816.1234506193</x:v>
      </x:c>
      <x:c r="T44" s="9" t="n">
        <x:v>993358.3349144049</x:v>
      </x:c>
      <x:c r="U44" s="9" t="n">
        <x:v>3841271.30742412</x:v>
      </x:c>
      <x:c r="V44" s="9" t="n">
        <x:v>493432.6194076701</x:v>
      </x:c>
      <x:c r="W44" s="9" t="n">
        <x:v>529998.4405953244</x:v>
      </x:c>
      <x:c r="X44" s="9" t="n">
        <x:v>503641.8598810544</x:v>
      </x:c>
      <x:c r="Y44" s="9" t="n">
        <x:v>915487.1116947671</x:v>
      </x:c>
      <x:c r="Z44" s="9" t="n">
        <x:v>168980.4133723416</x:v>
      </x:c>
      <x:c r="AA44" s="9" t="n">
        <x:v>174805.6344982411</x:v>
      </x:c>
      <x:c r="AB44" s="9" t="n">
        <x:v>6992004.472908084</x:v>
      </x:c>
      <x:c r="AC44" s="9" t="n">
        <x:v>839434.5591771959</x:v>
      </x:c>
      <x:c r="AD44" s="9" t="n">
        <x:v>10874218.63237814</x:v>
      </x:c>
      <x:c r="AE44" s="9" t="n">
        <x:v>5945742.383621068</x:v>
      </x:c>
      <x:c r="AF44" s="9" t="n">
        <x:v>2413893.387212942</x:v>
      </x:c>
      <x:c r="AG44" s="9" t="n">
        <x:v>361071.889743658</x:v>
      </x:c>
      <x:c r="AH44" s="9" t="n">
        <x:v>1124739.1728419554</x:v>
      </x:c>
      <x:c r="AI44" s="9" t="n">
        <x:v>1158799.678256271</x:v>
      </x:c>
      <x:c r="AJ44" s="9" t="n">
        <x:v>1579511.214471246</x:v>
      </x:c>
      <x:c r="AK44" s="9" t="n">
        <x:v>2957405.5951418844</x:v>
      </x:c>
      <x:c r="AL44" s="9" t="n">
        <x:v>352638.68204406154</x:v>
      </x:c>
      <x:c r="AM44" s="9" t="n">
        <x:v>2598083.612083297</x:v>
      </x:c>
      <x:c r="AN44" s="9" t="n">
        <x:v>39652072.629440665</x:v>
      </x:c>
      <x:c r="AO44" s="9" t="n">
        <x:v>2900535.5969177634</x:v>
      </x:c>
      <x:c r="AP44" s="9" t="n">
        <x:v>5494320.611292065</x:v>
      </x:c>
      <x:c r="AQ44" s="9" t="n">
        <x:v>167533.34487147632</x:v>
      </x:c>
      <x:c r="AR44" s="9" t="n">
        <x:v>1278096.8622015517</x:v>
      </x:c>
      <x:c r="AS44" s="9" t="n">
        <x:v>1100759.6464947732</x:v>
      </x:c>
      <x:c r="AT44" s="9" t="n">
        <x:v>52578.85983672917</x:v>
      </x:c>
      <x:c r="AU44" s="9" t="n">
        <x:v>2378141.9739515968</x:v>
      </x:c>
      <x:c r="AV44" s="9" t="n">
        <x:v>630107.060976592</x:v>
      </x:c>
      <x:c r="AW44" s="9" t="n">
        <x:v>39428.89815380711</x:v>
      </x:c>
      <x:c r="AX44" s="9" t="n">
        <x:v>1580637.1892756755</x:v>
      </x:c>
      <x:c r="AY44" s="9" t="n">
        <x:v>225139.12380711304</x:v>
      </x:c>
      <x:c r="AZ44" s="9" t="n">
        <x:v>291275.3549200456</x:v>
      </x:c>
      <x:c r="BA44" s="9" t="n">
        <x:v>68506.35027665566</x:v>
      </x:c>
      <x:c r="BB44" s="9" t="n">
        <x:v>338109.1117810223</x:v>
      </x:c>
      <x:c r="BC44" s="9" t="n">
        <x:v>1066304.0260760745</x:v>
      </x:c>
      <x:c r="BD44" s="9" t="n">
        <x:v>3860627.8365959614</x:v>
      </x:c>
      <x:c r="BE44" s="9" t="n">
        <x:v>734702.6151815798</x:v>
      </x:c>
      <x:c r="BF44" s="9" t="n">
        <x:v>1522258.6381747338</x:v>
      </x:c>
      <x:c r="BG44" s="9" t="n">
        <x:v>126728.64786635048</x:v>
      </x:c>
      <x:c r="BH44" s="9" t="n">
        <x:v>988901.6808783726</x:v>
      </x:c>
      <x:c r="BI44" s="9" t="n">
        <x:v>277982.8236798266</x:v>
      </x:c>
      <x:c r="BJ44" s="9" t="n">
        <x:v>991652.9066465549</x:v>
      </x:c>
      <x:c r="BK44" s="9" t="n">
        <x:v>312673.1335659233</x:v>
      </x:c>
      <x:c r="BL44" s="9" t="n">
        <x:v>235507.86167650367</x:v>
      </x:c>
      <x:c r="BM44" s="9" t="n">
        <x:v>0</x:v>
      </x:c>
      <x:c r="BN44" s="9" t="n">
        <x:v>0</x:v>
      </x:c>
      <x:c r="BO44" s="9" t="n">
        <x:v>0</x:v>
      </x:c>
      <x:c r="BP44" s="9" t="n">
        <x:v>0</x:v>
      </x:c>
      <x:c r="BQ44" s="9" t="n">
        <x:v>0</x:v>
      </x:c>
      <x:c r="BR44" s="9" t="n">
        <x:v>0</x:v>
      </x:c>
      <x:c r="BS44" s="9" t="n">
        <x:v>135119709.72439682</x:v>
      </x:c>
      <x:c r="BT44" s="9" t="n">
        <x:v>77565.12118223115</x:v>
      </x:c>
      <x:c r="BU44" s="9" t="n">
        <x:v>5875628.503730334</x:v>
      </x:c>
      <x:c r="BV44" s="9" t="n">
        <x:v>5584544.193726267</x:v>
      </x:c>
      <x:c r="BW44" s="16" t="n">
        <x:f>SUM(B44:BV44)</x:f>
        <x:v>266256446.7313324</x:v>
      </x:c>
    </x:row>
    <x:row r="45" ht="22" customHeight="1">
      <x:c r="A45" s="2" t="str">
        <x:v>S39</x:v>
      </x:c>
      <x:c r="B45" s="9" t="n">
        <x:v>279800.5568517809</x:v>
      </x:c>
      <x:c r="C45" s="9" t="n">
        <x:v>20769.774945890444</x:v>
      </x:c>
      <x:c r="D45" s="9" t="n">
        <x:v>8167.060882880707</x:v>
      </x:c>
      <x:c r="E45" s="9" t="n">
        <x:v>1509605.4210491604</x:v>
      </x:c>
      <x:c r="F45" s="9" t="n">
        <x:v>4069805.230529468</x:v>
      </x:c>
      <x:c r="G45" s="9" t="n">
        <x:v>3022265.1120062373</x:v>
      </x:c>
      <x:c r="H45" s="9" t="n">
        <x:v>361150.0884492818</x:v>
      </x:c>
      <x:c r="I45" s="9" t="n">
        <x:v>1148879.6077690308</x:v>
      </x:c>
      <x:c r="J45" s="9" t="n">
        <x:v>440454.1906793566</x:v>
      </x:c>
      <x:c r="K45" s="9" t="n">
        <x:v>844731.5237266085</x:v>
      </x:c>
      <x:c r="L45" s="9" t="n">
        <x:v>1704703.467735489</x:v>
      </x:c>
      <x:c r="M45" s="9" t="n">
        <x:v>640661.4818510921</x:v>
      </x:c>
      <x:c r="N45" s="9" t="n">
        <x:v>2073198.3557509114</x:v>
      </x:c>
      <x:c r="O45" s="9" t="n">
        <x:v>1926987.7129506876</x:v>
      </x:c>
      <x:c r="P45" s="9" t="n">
        <x:v>1558973.8805589408</x:v>
      </x:c>
      <x:c r="Q45" s="9" t="n">
        <x:v>3088860.052333483</x:v>
      </x:c>
      <x:c r="R45" s="9" t="n">
        <x:v>2887790.689769692</x:v>
      </x:c>
      <x:c r="S45" s="9" t="n">
        <x:v>4245745.9302869</x:v>
      </x:c>
      <x:c r="T45" s="9" t="n">
        <x:v>4027222.8916848237</x:v>
      </x:c>
      <x:c r="U45" s="9" t="n">
        <x:v>9024821.700671945</x:v>
      </x:c>
      <x:c r="V45" s="9" t="n">
        <x:v>8602356.508652687</x:v>
      </x:c>
      <x:c r="W45" s="9" t="n">
        <x:v>1311458.0676508248</x:v>
      </x:c>
      <x:c r="X45" s="9" t="n">
        <x:v>1980103.500600131</x:v>
      </x:c>
      <x:c r="Y45" s="9" t="n">
        <x:v>3649745.113493146</x:v>
      </x:c>
      <x:c r="Z45" s="9" t="n">
        <x:v>625578.3319815634</x:v>
      </x:c>
      <x:c r="AA45" s="9" t="n">
        <x:v>219163.0756684184</x:v>
      </x:c>
      <x:c r="AB45" s="9" t="n">
        <x:v>14049591.344894508</x:v>
      </x:c>
      <x:c r="AC45" s="9" t="n">
        <x:v>2775379.635286693</x:v>
      </x:c>
      <x:c r="AD45" s="9" t="n">
        <x:v>19539391.890971966</x:v>
      </x:c>
      <x:c r="AE45" s="9" t="n">
        <x:v>22138741.47805312</x:v>
      </x:c>
      <x:c r="AF45" s="9" t="n">
        <x:v>4886646.606081285</x:v>
      </x:c>
      <x:c r="AG45" s="9" t="n">
        <x:v>1148863.0650720103</x:v>
      </x:c>
      <x:c r="AH45" s="9" t="n">
        <x:v>16937509.334170885</x:v>
      </x:c>
      <x:c r="AI45" s="9" t="n">
        <x:v>4010953.7395877154</x:v>
      </x:c>
      <x:c r="AJ45" s="9" t="n">
        <x:v>1172929.26033329</x:v>
      </x:c>
      <x:c r="AK45" s="9" t="n">
        <x:v>5333109.6070236135</x:v>
      </x:c>
      <x:c r="AL45" s="9" t="n">
        <x:v>2459397.210055662</x:v>
      </x:c>
      <x:c r="AM45" s="9" t="n">
        <x:v>3891423.745545851</x:v>
      </x:c>
      <x:c r="AN45" s="9" t="n">
        <x:v>7080750.1848333925</x:v>
      </x:c>
      <x:c r="AO45" s="9" t="n">
        <x:v>33882054.60457365</x:v>
      </x:c>
      <x:c r="AP45" s="9" t="n">
        <x:v>9967590.130764512</x:v>
      </x:c>
      <x:c r="AQ45" s="9" t="n">
        <x:v>687922.8281862397</x:v>
      </x:c>
      <x:c r="AR45" s="9" t="n">
        <x:v>1254969.527565305</x:v>
      </x:c>
      <x:c r="AS45" s="9" t="n">
        <x:v>3253833.7575659677</x:v>
      </x:c>
      <x:c r="AT45" s="9" t="n">
        <x:v>122253.46999101032</x:v>
      </x:c>
      <x:c r="AU45" s="9" t="n">
        <x:v>6145987.993271244</x:v>
      </x:c>
      <x:c r="AV45" s="9" t="n">
        <x:v>3461850.36184239</x:v>
      </x:c>
      <x:c r="AW45" s="9" t="n">
        <x:v>345909.57012314186</x:v>
      </x:c>
      <x:c r="AX45" s="9" t="n">
        <x:v>11753220.210300097</x:v>
      </x:c>
      <x:c r="AY45" s="9" t="n">
        <x:v>525256.1232786248</x:v>
      </x:c>
      <x:c r="AZ45" s="9" t="n">
        <x:v>1306996.9098268736</x:v>
      </x:c>
      <x:c r="BA45" s="9" t="n">
        <x:v>609972.2052915103</x:v>
      </x:c>
      <x:c r="BB45" s="9" t="n">
        <x:v>2199457.723924274</x:v>
      </x:c>
      <x:c r="BC45" s="9" t="n">
        <x:v>5646236.159286988</x:v>
      </x:c>
      <x:c r="BD45" s="9" t="n">
        <x:v>6086790.22814124</x:v>
      </x:c>
      <x:c r="BE45" s="9" t="n">
        <x:v>2241182.7981318543</x:v>
      </x:c>
      <x:c r="BF45" s="9" t="n">
        <x:v>34680800.61585964</x:v>
      </x:c>
      <x:c r="BG45" s="9" t="n">
        <x:v>74725.81895447717</x:v>
      </x:c>
      <x:c r="BH45" s="9" t="n">
        <x:v>3719591.2702335855</x:v>
      </x:c>
      <x:c r="BI45" s="9" t="n">
        <x:v>628772.4687962524</x:v>
      </x:c>
      <x:c r="BJ45" s="9" t="n">
        <x:v>1547151.6676801322</x:v>
      </x:c>
      <x:c r="BK45" s="9" t="n">
        <x:v>455002.5701178332</x:v>
      </x:c>
      <x:c r="BL45" s="9" t="n">
        <x:v>255983.9618561674</x:v>
      </x:c>
      <x:c r="BM45" s="9" t="n">
        <x:v>0</x:v>
      </x:c>
      <x:c r="BN45" s="9" t="n">
        <x:v>0</x:v>
      </x:c>
      <x:c r="BO45" s="9" t="n">
        <x:v>0</x:v>
      </x:c>
      <x:c r="BP45" s="9" t="n">
        <x:v>0</x:v>
      </x:c>
      <x:c r="BQ45" s="9" t="n">
        <x:v>0</x:v>
      </x:c>
      <x:c r="BR45" s="9" t="n">
        <x:v>0</x:v>
      </x:c>
      <x:c r="BS45" s="9" t="n">
        <x:v>9204479.941328298</x:v>
      </x:c>
      <x:c r="BT45" s="9" t="n">
        <x:v>2303421.446310266</x:v>
      </x:c>
      <x:c r="BU45" s="9" t="n">
        <x:v>275667874.6598072</x:v>
      </x:c>
      <x:c r="BV45" s="9" t="n">
        <x:v>52373806.83839011</x:v>
      </x:c>
      <x:c r="BW45" s="16" t="n">
        <x:f>SUM(B45:BV45)</x:f>
        <x:v>635100782.2918394</x:v>
      </x:c>
    </x:row>
    <x:row r="46" ht="22" customHeight="1">
      <x:c r="A46" s="2" t="str">
        <x:v>S40</x:v>
      </x:c>
      <x:c r="B46" s="9" t="n">
        <x:v>6222744.824135203</x:v>
      </x:c>
      <x:c r="C46" s="9" t="n">
        <x:v>170287.36101599314</x:v>
      </x:c>
      <x:c r="D46" s="9" t="n">
        <x:v>152138.98619758178</x:v>
      </x:c>
      <x:c r="E46" s="9" t="n">
        <x:v>7507160.534427501</x:v>
      </x:c>
      <x:c r="F46" s="9" t="n">
        <x:v>29138597.01826789</x:v>
      </x:c>
      <x:c r="G46" s="9" t="n">
        <x:v>23497279.610141717</x:v>
      </x:c>
      <x:c r="H46" s="9" t="n">
        <x:v>2384845.6350010647</x:v>
      </x:c>
      <x:c r="I46" s="9" t="n">
        <x:v>3704877.3832239187</x:v>
      </x:c>
      <x:c r="J46" s="9" t="n">
        <x:v>1141450.747141726</x:v>
      </x:c>
      <x:c r="K46" s="9" t="n">
        <x:v>3828427.5147519414</x:v>
      </x:c>
      <x:c r="L46" s="9" t="n">
        <x:v>9840122.78729918</x:v>
      </x:c>
      <x:c r="M46" s="9" t="n">
        <x:v>1740457.341051618</x:v>
      </x:c>
      <x:c r="N46" s="9" t="n">
        <x:v>8646499.316967778</x:v>
      </x:c>
      <x:c r="O46" s="9" t="n">
        <x:v>9864929.663511066</x:v>
      </x:c>
      <x:c r="P46" s="9" t="n">
        <x:v>16227698.250386035</x:v>
      </x:c>
      <x:c r="Q46" s="9" t="n">
        <x:v>10213949.848505545</x:v>
      </x:c>
      <x:c r="R46" s="9" t="n">
        <x:v>2937684.58349178</x:v>
      </x:c>
      <x:c r="S46" s="9" t="n">
        <x:v>8895041.97123189</x:v>
      </x:c>
      <x:c r="T46" s="9" t="n">
        <x:v>10352241.335417086</x:v>
      </x:c>
      <x:c r="U46" s="9" t="n">
        <x:v>17474149.963815723</x:v>
      </x:c>
      <x:c r="V46" s="9" t="n">
        <x:v>5921758.733355733</x:v>
      </x:c>
      <x:c r="W46" s="9" t="n">
        <x:v>6004119.143667772</x:v>
      </x:c>
      <x:c r="X46" s="9" t="n">
        <x:v>4074586.566132747</x:v>
      </x:c>
      <x:c r="Y46" s="9" t="n">
        <x:v>35960960.46054241</x:v>
      </x:c>
      <x:c r="Z46" s="9" t="n">
        <x:v>1061888.47734447</x:v>
      </x:c>
      <x:c r="AA46" s="9" t="n">
        <x:v>3198585.1406697705</x:v>
      </x:c>
      <x:c r="AB46" s="9" t="n">
        <x:v>46831678.65879296</x:v>
      </x:c>
      <x:c r="AC46" s="9" t="n">
        <x:v>12114081.897939304</x:v>
      </x:c>
      <x:c r="AD46" s="9" t="n">
        <x:v>43785022.49675986</x:v>
      </x:c>
      <x:c r="AE46" s="9" t="n">
        <x:v>21149815.108379368</x:v>
      </x:c>
      <x:c r="AF46" s="9" t="n">
        <x:v>31729197.147576574</x:v>
      </x:c>
      <x:c r="AG46" s="9" t="n">
        <x:v>3433571.143801078</x:v>
      </x:c>
      <x:c r="AH46" s="9" t="n">
        <x:v>7242424.653224383</x:v>
      </x:c>
      <x:c r="AI46" s="9" t="n">
        <x:v>16036273.644823952</x:v>
      </x:c>
      <x:c r="AJ46" s="9" t="n">
        <x:v>1673484.5803889162</x:v>
      </x:c>
      <x:c r="AK46" s="9" t="n">
        <x:v>18257299.415323313</x:v>
      </x:c>
      <x:c r="AL46" s="9" t="n">
        <x:v>600952.5682455375</x:v>
      </x:c>
      <x:c r="AM46" s="9" t="n">
        <x:v>1305960.3758515876</x:v>
      </x:c>
      <x:c r="AN46" s="9" t="n">
        <x:v>4565620.701738098</x:v>
      </x:c>
      <x:c r="AO46" s="9" t="n">
        <x:v>4356085.34720437</x:v>
      </x:c>
      <x:c r="AP46" s="9" t="n">
        <x:v>175777642.58801353</x:v>
      </x:c>
      <x:c r="AQ46" s="9" t="n">
        <x:v>17770707.13197439</x:v>
      </x:c>
      <x:c r="AR46" s="9" t="n">
        <x:v>7068723.609712904</x:v>
      </x:c>
      <x:c r="AS46" s="9" t="n">
        <x:v>8033021.133802189</x:v>
      </x:c>
      <x:c r="AT46" s="9" t="n">
        <x:v>16805036.440381117</x:v>
      </x:c>
      <x:c r="AU46" s="9" t="n">
        <x:v>4736561.273114823</x:v>
      </x:c>
      <x:c r="AV46" s="9" t="n">
        <x:v>5229986.769705896</x:v>
      </x:c>
      <x:c r="AW46" s="9" t="n">
        <x:v>290492.15769517847</x:v>
      </x:c>
      <x:c r="AX46" s="9" t="n">
        <x:v>2279964.2394744847</x:v>
      </x:c>
      <x:c r="AY46" s="9" t="n">
        <x:v>772255.8197494276</x:v>
      </x:c>
      <x:c r="AZ46" s="9" t="n">
        <x:v>3371408.0178666874</x:v>
      </x:c>
      <x:c r="BA46" s="9" t="n">
        <x:v>2336408.805195046</x:v>
      </x:c>
      <x:c r="BB46" s="9" t="n">
        <x:v>7144885.451756803</x:v>
      </x:c>
      <x:c r="BC46" s="9" t="n">
        <x:v>4782119.769592175</x:v>
      </x:c>
      <x:c r="BD46" s="9" t="n">
        <x:v>20540665.50005083</x:v>
      </x:c>
      <x:c r="BE46" s="9" t="n">
        <x:v>12618420.58136063</x:v>
      </x:c>
      <x:c r="BF46" s="9" t="n">
        <x:v>13761355.71388277</x:v>
      </x:c>
      <x:c r="BG46" s="9" t="n">
        <x:v>808675.1850266723</x:v>
      </x:c>
      <x:c r="BH46" s="9" t="n">
        <x:v>3916439.3744227863</x:v>
      </x:c>
      <x:c r="BI46" s="9" t="n">
        <x:v>4589218.185862245</x:v>
      </x:c>
      <x:c r="BJ46" s="9" t="n">
        <x:v>4366165.363516417</x:v>
      </x:c>
      <x:c r="BK46" s="9" t="n">
        <x:v>542852.8555924312</x:v>
      </x:c>
      <x:c r="BL46" s="9" t="n">
        <x:v>939022.736096262</x:v>
      </x:c>
      <x:c r="BM46" s="9" t="n">
        <x:v>0</x:v>
      </x:c>
      <x:c r="BN46" s="9" t="n">
        <x:v>0</x:v>
      </x:c>
      <x:c r="BO46" s="9" t="n">
        <x:v>0</x:v>
      </x:c>
      <x:c r="BP46" s="9" t="n">
        <x:v>0</x:v>
      </x:c>
      <x:c r="BQ46" s="9" t="n">
        <x:v>0</x:v>
      </x:c>
      <x:c r="BR46" s="9" t="n">
        <x:v>0</x:v>
      </x:c>
      <x:c r="BS46" s="9" t="n">
        <x:v>265748580.84394485</x:v>
      </x:c>
      <x:c r="BT46" s="9" t="n">
        <x:v>4257356.690513899</x:v>
      </x:c>
      <x:c r="BU46" s="9" t="n">
        <x:v>0</x:v>
      </x:c>
      <x:c r="BV46" s="9" t="n">
        <x:v>24948491.41840394</x:v>
      </x:c>
      <x:c r="BW46" s="16" t="n">
        <x:f>SUM(B46:BV46)</x:f>
        <x:v>1056680408.5944532</x:v>
      </x:c>
    </x:row>
    <x:row r="47" ht="22" customHeight="1">
      <x:c r="A47" s="2" t="str">
        <x:v>S41</x:v>
      </x:c>
      <x:c r="B47" s="9" t="n">
        <x:v>919859.7406012429</x:v>
      </x:c>
      <x:c r="C47" s="9" t="n">
        <x:v>7161.265645819336</x:v>
      </x:c>
      <x:c r="D47" s="9" t="n">
        <x:v>263044.5308560142</x:v>
      </x:c>
      <x:c r="E47" s="9" t="n">
        <x:v>7335701.3239174485</x:v>
      </x:c>
      <x:c r="F47" s="9" t="n">
        <x:v>6072046.566979594</x:v>
      </x:c>
      <x:c r="G47" s="9" t="n">
        <x:v>3868747.915300609</x:v>
      </x:c>
      <x:c r="H47" s="9" t="n">
        <x:v>726216.8815571353</x:v>
      </x:c>
      <x:c r="I47" s="9" t="n">
        <x:v>1272012.7449298555</x:v>
      </x:c>
      <x:c r="J47" s="9" t="n">
        <x:v>484746.0425450804</x:v>
      </x:c>
      <x:c r="K47" s="9" t="n">
        <x:v>220033.15661739832</x:v>
      </x:c>
      <x:c r="L47" s="9" t="n">
        <x:v>1362092.9386439219</x:v>
      </x:c>
      <x:c r="M47" s="9" t="n">
        <x:v>334978.56786717125</x:v>
      </x:c>
      <x:c r="N47" s="9" t="n">
        <x:v>2064210.0787516683</x:v>
      </x:c>
      <x:c r="O47" s="9" t="n">
        <x:v>4475523.982775598</x:v>
      </x:c>
      <x:c r="P47" s="9" t="n">
        <x:v>3197502.6973553333</x:v>
      </x:c>
      <x:c r="Q47" s="9" t="n">
        <x:v>3815386.822492699</x:v>
      </x:c>
      <x:c r="R47" s="9" t="n">
        <x:v>482962.4291579022</x:v>
      </x:c>
      <x:c r="S47" s="9" t="n">
        <x:v>2896373.3272529505</x:v>
      </x:c>
      <x:c r="T47" s="9" t="n">
        <x:v>4204235.370283272</x:v>
      </x:c>
      <x:c r="U47" s="9" t="n">
        <x:v>3443715.628286335</x:v>
      </x:c>
      <x:c r="V47" s="9" t="n">
        <x:v>3394865.7557589663</x:v>
      </x:c>
      <x:c r="W47" s="9" t="n">
        <x:v>797472.126901026</x:v>
      </x:c>
      <x:c r="X47" s="9" t="n">
        <x:v>726046.0331015455</x:v>
      </x:c>
      <x:c r="Y47" s="9" t="n">
        <x:v>11559550.841099467</x:v>
      </x:c>
      <x:c r="Z47" s="9" t="n">
        <x:v>152200.2484975457</x:v>
      </x:c>
      <x:c r="AA47" s="9" t="n">
        <x:v>933491.3910003465</x:v>
      </x:c>
      <x:c r="AB47" s="9" t="n">
        <x:v>14294732.156923382</x:v>
      </x:c>
      <x:c r="AC47" s="9" t="n">
        <x:v>9391789.934232257</x:v>
      </x:c>
      <x:c r="AD47" s="9" t="n">
        <x:v>22635096.095691096</x:v>
      </x:c>
      <x:c r="AE47" s="9" t="n">
        <x:v>6606855.143506205</x:v>
      </x:c>
      <x:c r="AF47" s="9" t="n">
        <x:v>11039422.203458507</x:v>
      </x:c>
      <x:c r="AG47" s="9" t="n">
        <x:v>2521058.7232276844</x:v>
      </x:c>
      <x:c r="AH47" s="9" t="n">
        <x:v>4080462.0098411557</x:v>
      </x:c>
      <x:c r="AI47" s="9" t="n">
        <x:v>6732227.79503403</x:v>
      </x:c>
      <x:c r="AJ47" s="9" t="n">
        <x:v>1719459.464055647</x:v>
      </x:c>
      <x:c r="AK47" s="9" t="n">
        <x:v>4392118.800145468</x:v>
      </x:c>
      <x:c r="AL47" s="9" t="n">
        <x:v>244806.46381566752</x:v>
      </x:c>
      <x:c r="AM47" s="9" t="n">
        <x:v>315132.4039404972</x:v>
      </x:c>
      <x:c r="AN47" s="9" t="n">
        <x:v>2013528.4497343947</x:v>
      </x:c>
      <x:c r="AO47" s="9" t="n">
        <x:v>1243625.1431264472</x:v>
      </x:c>
      <x:c r="AP47" s="9" t="n">
        <x:v>3907024.980290016</x:v>
      </x:c>
      <x:c r="AQ47" s="9" t="n">
        <x:v>60630194.81750551</x:v>
      </x:c>
      <x:c r="AR47" s="9" t="n">
        <x:v>999757.7329616806</x:v>
      </x:c>
      <x:c r="AS47" s="9" t="n">
        <x:v>2905795.5759317805</x:v>
      </x:c>
      <x:c r="AT47" s="9" t="n">
        <x:v>2390142.7792782127</x:v>
      </x:c>
      <x:c r="AU47" s="9" t="n">
        <x:v>2801598.921016733</x:v>
      </x:c>
      <x:c r="AV47" s="9" t="n">
        <x:v>1852745.1324087891</x:v>
      </x:c>
      <x:c r="AW47" s="9" t="n">
        <x:v>51128.651888703695</x:v>
      </x:c>
      <x:c r="AX47" s="9" t="n">
        <x:v>243181.13308655767</x:v>
      </x:c>
      <x:c r="AY47" s="9" t="n">
        <x:v>22648.262302239913</x:v>
      </x:c>
      <x:c r="AZ47" s="9" t="n">
        <x:v>8165033.9180157045</x:v>
      </x:c>
      <x:c r="BA47" s="9" t="n">
        <x:v>235499.40316702137</x:v>
      </x:c>
      <x:c r="BB47" s="9" t="n">
        <x:v>337694.75128776423</x:v>
      </x:c>
      <x:c r="BC47" s="9" t="n">
        <x:v>1750214.6457741759</x:v>
      </x:c>
      <x:c r="BD47" s="9" t="n">
        <x:v>10380128.653568383</x:v>
      </x:c>
      <x:c r="BE47" s="9" t="n">
        <x:v>2268148.434816476</x:v>
      </x:c>
      <x:c r="BF47" s="9" t="n">
        <x:v>4538094.463163371</x:v>
      </x:c>
      <x:c r="BG47" s="9" t="n">
        <x:v>84448.5529120514</x:v>
      </x:c>
      <x:c r="BH47" s="9" t="n">
        <x:v>721940.086460893</x:v>
      </x:c>
      <x:c r="BI47" s="9" t="n">
        <x:v>615812.3202720219</x:v>
      </x:c>
      <x:c r="BJ47" s="9" t="n">
        <x:v>89259.1927086545</x:v>
      </x:c>
      <x:c r="BK47" s="9" t="n">
        <x:v>337113.4101646221</x:v>
      </x:c>
      <x:c r="BL47" s="9" t="n">
        <x:v>70194.11034389347</x:v>
      </x:c>
      <x:c r="BM47" s="9" t="n">
        <x:v>0</x:v>
      </x:c>
      <x:c r="BN47" s="9" t="n">
        <x:v>0</x:v>
      </x:c>
      <x:c r="BO47" s="9" t="n">
        <x:v>0</x:v>
      </x:c>
      <x:c r="BP47" s="9" t="n">
        <x:v>0</x:v>
      </x:c>
      <x:c r="BQ47" s="9" t="n">
        <x:v>0</x:v>
      </x:c>
      <x:c r="BR47" s="9" t="n">
        <x:v>0</x:v>
      </x:c>
      <x:c r="BS47" s="9" t="n">
        <x:v>105516947.71995571</x:v>
      </x:c>
      <x:c r="BT47" s="9" t="n">
        <x:v>5005575.723521454</x:v>
      </x:c>
      <x:c r="BU47" s="9" t="n">
        <x:v>0</x:v>
      </x:c>
      <x:c r="BV47" s="9" t="n">
        <x:v>65225781.46643343</x:v>
      </x:c>
      <x:c r="BW47" s="16" t="n">
        <x:f>SUM(B47:BV47)</x:f>
        <x:v>433386598.0341443</x:v>
      </x:c>
    </x:row>
    <x:row r="48" ht="22" customHeight="1">
      <x:c r="A48" s="2" t="str">
        <x:v>S42</x:v>
      </x:c>
      <x:c r="B48" s="9" t="n">
        <x:v>0</x:v>
      </x:c>
      <x:c r="C48" s="9" t="n">
        <x:v>0</x:v>
      </x:c>
      <x:c r="D48" s="9" t="n">
        <x:v>0</x:v>
      </x:c>
      <x:c r="E48" s="9" t="n">
        <x:v>2010950.8534607629</x:v>
      </x:c>
      <x:c r="F48" s="9" t="n">
        <x:v>2898923.288149313</x:v>
      </x:c>
      <x:c r="G48" s="9" t="n">
        <x:v>350897.7075824025</x:v>
      </x:c>
      <x:c r="H48" s="9" t="n">
        <x:v>138930.8673600035</x:v>
      </x:c>
      <x:c r="I48" s="9" t="n">
        <x:v>234673.12200076677</x:v>
      </x:c>
      <x:c r="J48" s="9" t="n">
        <x:v>22011.98989360616</x:v>
      </x:c>
      <x:c r="K48" s="9" t="n">
        <x:v>6267.179378250749</x:v>
      </x:c>
      <x:c r="L48" s="9" t="n">
        <x:v>357675.44736374257</x:v>
      </x:c>
      <x:c r="M48" s="9" t="n">
        <x:v>23503.47654218363</x:v>
      </x:c>
      <x:c r="N48" s="9" t="n">
        <x:v>353859.0513277688</x:v>
      </x:c>
      <x:c r="O48" s="9" t="n">
        <x:v>858029.9527265455</x:v>
      </x:c>
      <x:c r="P48" s="9" t="n">
        <x:v>248753.16437171728</x:v>
      </x:c>
      <x:c r="Q48" s="9" t="n">
        <x:v>572683.1311745103</x:v>
      </x:c>
      <x:c r="R48" s="9" t="n">
        <x:v>6634.899835268128</x:v>
      </x:c>
      <x:c r="S48" s="9" t="n">
        <x:v>3611221.6637560525</x:v>
      </x:c>
      <x:c r="T48" s="9" t="n">
        <x:v>578340.4254924592</x:v>
      </x:c>
      <x:c r="U48" s="9" t="n">
        <x:v>36982.12856942837</x:v>
      </x:c>
      <x:c r="V48" s="9" t="n">
        <x:v>241095.12713496806</x:v>
      </x:c>
      <x:c r="W48" s="9" t="n">
        <x:v>385698.057560727</x:v>
      </x:c>
      <x:c r="X48" s="9" t="n">
        <x:v>14897.010629421957</x:v>
      </x:c>
      <x:c r="Y48" s="9" t="n">
        <x:v>514559.2779550165</x:v>
      </x:c>
      <x:c r="Z48" s="9" t="n">
        <x:v>27448.600106037542</x:v>
      </x:c>
      <x:c r="AA48" s="9" t="n">
        <x:v>70790.2897415102</x:v>
      </x:c>
      <x:c r="AB48" s="9" t="n">
        <x:v>977180.9766243609</x:v>
      </x:c>
      <x:c r="AC48" s="9" t="n">
        <x:v>350796.30993127386</x:v>
      </x:c>
      <x:c r="AD48" s="9" t="n">
        <x:v>6893741.486163798</x:v>
      </x:c>
      <x:c r="AE48" s="9" t="n">
        <x:v>815230.234142471</x:v>
      </x:c>
      <x:c r="AF48" s="9" t="n">
        <x:v>60298.449188754115</x:v>
      </x:c>
      <x:c r="AG48" s="9" t="n">
        <x:v>156671.64282721962</x:v>
      </x:c>
      <x:c r="AH48" s="9" t="n">
        <x:v>2684194.4886983964</x:v>
      </x:c>
      <x:c r="AI48" s="9" t="n">
        <x:v>1256141.1383462772</x:v>
      </x:c>
      <x:c r="AJ48" s="9" t="n">
        <x:v>240381.46481287188</x:v>
      </x:c>
      <x:c r="AK48" s="9" t="n">
        <x:v>386715.2591091274</x:v>
      </x:c>
      <x:c r="AL48" s="9" t="n">
        <x:v>165357.78522029505</x:v>
      </x:c>
      <x:c r="AM48" s="9" t="n">
        <x:v>32175.539372486757</x:v>
      </x:c>
      <x:c r="AN48" s="9" t="n">
        <x:v>538783.4507089531</x:v>
      </x:c>
      <x:c r="AO48" s="9" t="n">
        <x:v>830392.9780438042</x:v>
      </x:c>
      <x:c r="AP48" s="9" t="n">
        <x:v>3834168.820228218</x:v>
      </x:c>
      <x:c r="AQ48" s="9" t="n">
        <x:v>8415288.720441936</x:v>
      </x:c>
      <x:c r="AR48" s="9" t="n">
        <x:v>8194831.483637868</x:v>
      </x:c>
      <x:c r="AS48" s="9" t="n">
        <x:v>1664225.7967917703</x:v>
      </x:c>
      <x:c r="AT48" s="9" t="n">
        <x:v>0</x:v>
      </x:c>
      <x:c r="AU48" s="9" t="n">
        <x:v>2468111.142433848</x:v>
      </x:c>
      <x:c r="AV48" s="9" t="n">
        <x:v>299035.91006954556</x:v>
      </x:c>
      <x:c r="AW48" s="9" t="n">
        <x:v>0</x:v>
      </x:c>
      <x:c r="AX48" s="9" t="n">
        <x:v>30138.812650887838</x:v>
      </x:c>
      <x:c r="AY48" s="9" t="n">
        <x:v>159577.81964760213</x:v>
      </x:c>
      <x:c r="AZ48" s="9" t="n">
        <x:v>48011.64566682719</x:v>
      </x:c>
      <x:c r="BA48" s="9" t="n">
        <x:v>68541.11344375268</x:v>
      </x:c>
      <x:c r="BB48" s="9" t="n">
        <x:v>88449.41042607707</x:v>
      </x:c>
      <x:c r="BC48" s="9" t="n">
        <x:v>278030.0720068695</x:v>
      </x:c>
      <x:c r="BD48" s="9" t="n">
        <x:v>1312254.1682894847</x:v>
      </x:c>
      <x:c r="BE48" s="9" t="n">
        <x:v>796418.2537556052</x:v>
      </x:c>
      <x:c r="BF48" s="9" t="n">
        <x:v>1181281.911599993</x:v>
      </x:c>
      <x:c r="BG48" s="9" t="n">
        <x:v>1094.9556436290286</x:v>
      </x:c>
      <x:c r="BH48" s="9" t="n">
        <x:v>49241.608533269886</x:v>
      </x:c>
      <x:c r="BI48" s="9" t="n">
        <x:v>84002.10086968249</x:v>
      </x:c>
      <x:c r="BJ48" s="9" t="n">
        <x:v>0</x:v>
      </x:c>
      <x:c r="BK48" s="9" t="n">
        <x:v>25044.7777712342</x:v>
      </x:c>
      <x:c r="BL48" s="9" t="n">
        <x:v>1.1345575110659045</x:v>
      </x:c>
      <x:c r="BM48" s="9" t="n">
        <x:v>0</x:v>
      </x:c>
      <x:c r="BN48" s="9" t="n">
        <x:v>0</x:v>
      </x:c>
      <x:c r="BO48" s="9" t="n">
        <x:v>0</x:v>
      </x:c>
      <x:c r="BP48" s="9" t="n">
        <x:v>0</x:v>
      </x:c>
      <x:c r="BQ48" s="9" t="n">
        <x:v>0</x:v>
      </x:c>
      <x:c r="BR48" s="9" t="n">
        <x:v>0</x:v>
      </x:c>
      <x:c r="BS48" s="9" t="n">
        <x:v>84105989.11141357</x:v>
      </x:c>
      <x:c r="BT48" s="9" t="n">
        <x:v>1079294.6245774655</x:v>
      </x:c>
      <x:c r="BU48" s="9" t="n">
        <x:v>0</x:v>
      </x:c>
      <x:c r="BV48" s="9" t="n">
        <x:v>2056896.1686205047</x:v>
      </x:c>
      <x:c r="BW48" s="16" t="n">
        <x:f>SUM(B48:BV48)</x:f>
        <x:v>145192817.4783797</x:v>
      </x:c>
    </x:row>
    <x:row r="49" ht="22" customHeight="1">
      <x:c r="A49" s="2" t="str">
        <x:v>S43</x:v>
      </x:c>
      <x:c r="B49" s="9" t="n">
        <x:v>1649067.6733957606</x:v>
      </x:c>
      <x:c r="C49" s="9" t="n">
        <x:v>33860.26643344158</x:v>
      </x:c>
      <x:c r="D49" s="9" t="n">
        <x:v>131414.5081991481</x:v>
      </x:c>
      <x:c r="E49" s="9" t="n">
        <x:v>2224623.2968202466</x:v>
      </x:c>
      <x:c r="F49" s="9" t="n">
        <x:v>5181698.2099963315</x:v>
      </x:c>
      <x:c r="G49" s="9" t="n">
        <x:v>13774740.636499971</x:v>
      </x:c>
      <x:c r="H49" s="9" t="n">
        <x:v>714072.8235469696</x:v>
      </x:c>
      <x:c r="I49" s="9" t="n">
        <x:v>1762177.6172485931</x:v>
      </x:c>
      <x:c r="J49" s="9" t="n">
        <x:v>472422.87581640127</x:v>
      </x:c>
      <x:c r="K49" s="9" t="n">
        <x:v>2239158.2027197154</x:v>
      </x:c>
      <x:c r="L49" s="9" t="n">
        <x:v>1909373.6635526102</x:v>
      </x:c>
      <x:c r="M49" s="9" t="n">
        <x:v>327001.6870838518</x:v>
      </x:c>
      <x:c r="N49" s="9" t="n">
        <x:v>5088805.006907059</x:v>
      </x:c>
      <x:c r="O49" s="9" t="n">
        <x:v>5499679.452480364</x:v>
      </x:c>
      <x:c r="P49" s="9" t="n">
        <x:v>7471439.926084412</x:v>
      </x:c>
      <x:c r="Q49" s="9" t="n">
        <x:v>4013846.841551905</x:v>
      </x:c>
      <x:c r="R49" s="9" t="n">
        <x:v>814472.6806021746</x:v>
      </x:c>
      <x:c r="S49" s="9" t="n">
        <x:v>1660035.9198872866</x:v>
      </x:c>
      <x:c r="T49" s="9" t="n">
        <x:v>3200074.3524312726</x:v>
      </x:c>
      <x:c r="U49" s="9" t="n">
        <x:v>6153908.170383232</x:v>
      </x:c>
      <x:c r="V49" s="9" t="n">
        <x:v>2687017.814947029</x:v>
      </x:c>
      <x:c r="W49" s="9" t="n">
        <x:v>2218373.912358149</x:v>
      </x:c>
      <x:c r="X49" s="9" t="n">
        <x:v>740151.2031930621</x:v>
      </x:c>
      <x:c r="Y49" s="9" t="n">
        <x:v>62433307.92319146</x:v>
      </x:c>
      <x:c r="Z49" s="9" t="n">
        <x:v>672652.7270541998</x:v>
      </x:c>
      <x:c r="AA49" s="9" t="n">
        <x:v>1002436.4605599359</x:v>
      </x:c>
      <x:c r="AB49" s="9" t="n">
        <x:v>33316244.000539478</x:v>
      </x:c>
      <x:c r="AC49" s="9" t="n">
        <x:v>12006917.498322006</x:v>
      </x:c>
      <x:c r="AD49" s="9" t="n">
        <x:v>94431700.12766092</x:v>
      </x:c>
      <x:c r="AE49" s="9" t="n">
        <x:v>124215615.51343915</x:v>
      </x:c>
      <x:c r="AF49" s="9" t="n">
        <x:v>5320619.983651255</x:v>
      </x:c>
      <x:c r="AG49" s="9" t="n">
        <x:v>1105977.7526895578</x:v>
      </x:c>
      <x:c r="AH49" s="9" t="n">
        <x:v>11101965.689941214</x:v>
      </x:c>
      <x:c r="AI49" s="9" t="n">
        <x:v>26051063.45492685</x:v>
      </x:c>
      <x:c r="AJ49" s="9" t="n">
        <x:v>8628160.66935448</x:v>
      </x:c>
      <x:c r="AK49" s="9" t="n">
        <x:v>27171107.460076116</x:v>
      </x:c>
      <x:c r="AL49" s="9" t="n">
        <x:v>287522.92771360616</x:v>
      </x:c>
      <x:c r="AM49" s="9" t="n">
        <x:v>1336939.7526206481</x:v>
      </x:c>
      <x:c r="AN49" s="9" t="n">
        <x:v>11027171.678517088</x:v>
      </x:c>
      <x:c r="AO49" s="9" t="n">
        <x:v>2068442.7115198623</x:v>
      </x:c>
      <x:c r="AP49" s="9" t="n">
        <x:v>54017536.13265581</x:v>
      </x:c>
      <x:c r="AQ49" s="9" t="n">
        <x:v>2079848.0564581896</x:v>
      </x:c>
      <x:c r="AR49" s="9" t="n">
        <x:v>13342141.278708812</x:v>
      </x:c>
      <x:c r="AS49" s="9" t="n">
        <x:v>45653707.270308234</x:v>
      </x:c>
      <x:c r="AT49" s="9" t="n">
        <x:v>118956.15895699516</x:v>
      </x:c>
      <x:c r="AU49" s="9" t="n">
        <x:v>5490288.944862145</x:v>
      </x:c>
      <x:c r="AV49" s="9" t="n">
        <x:v>1669211.4343892552</x:v>
      </x:c>
      <x:c r="AW49" s="9" t="n">
        <x:v>251875.16261207996</x:v>
      </x:c>
      <x:c r="AX49" s="9" t="n">
        <x:v>961645.9283376349</x:v>
      </x:c>
      <x:c r="AY49" s="9" t="n">
        <x:v>514502.8566294378</x:v>
      </x:c>
      <x:c r="AZ49" s="9" t="n">
        <x:v>1052317.167601976</x:v>
      </x:c>
      <x:c r="BA49" s="9" t="n">
        <x:v>116661.22169465604</x:v>
      </x:c>
      <x:c r="BB49" s="9" t="n">
        <x:v>3439901.014875314</x:v>
      </x:c>
      <x:c r="BC49" s="9" t="n">
        <x:v>8961594.824085217</x:v>
      </x:c>
      <x:c r="BD49" s="9" t="n">
        <x:v>14042290.148236144</x:v>
      </x:c>
      <x:c r="BE49" s="9" t="n">
        <x:v>8436073.804159692</x:v>
      </x:c>
      <x:c r="BF49" s="9" t="n">
        <x:v>19686992.71028725</x:v>
      </x:c>
      <x:c r="BG49" s="9" t="n">
        <x:v>821768.0773044548</x:v>
      </x:c>
      <x:c r="BH49" s="9" t="n">
        <x:v>1571087.363432854</x:v>
      </x:c>
      <x:c r="BI49" s="9" t="n">
        <x:v>3105551.8815945336</x:v>
      </x:c>
      <x:c r="BJ49" s="9" t="n">
        <x:v>3038513.5213265745</x:v>
      </x:c>
      <x:c r="BK49" s="9" t="n">
        <x:v>129587.98509311424</x:v>
      </x:c>
      <x:c r="BL49" s="9" t="n">
        <x:v>733447.7385412762</x:v>
      </x:c>
      <x:c r="BM49" s="9" t="n">
        <x:v>0</x:v>
      </x:c>
      <x:c r="BN49" s="9" t="n">
        <x:v>0</x:v>
      </x:c>
      <x:c r="BO49" s="9" t="n">
        <x:v>0</x:v>
      </x:c>
      <x:c r="BP49" s="9" t="n">
        <x:v>0</x:v>
      </x:c>
      <x:c r="BQ49" s="9" t="n">
        <x:v>0</x:v>
      </x:c>
      <x:c r="BR49" s="9" t="n">
        <x:v>0</x:v>
      </x:c>
      <x:c r="BS49" s="9" t="n">
        <x:v>461598437.0672041</x:v>
      </x:c>
      <x:c r="BT49" s="9" t="n">
        <x:v>2362029.680127329</x:v>
      </x:c>
      <x:c r="BU49" s="9" t="n">
        <x:v>7827067.183162446</x:v>
      </x:c>
      <x:c r="BV49" s="9" t="n">
        <x:v>2379474.9444695613</x:v>
      </x:c>
      <x:c r="BW49" s="16" t="n">
        <x:f>SUM(B49:BV49)</x:f>
        <x:v>1155547772.631032</x:v>
      </x:c>
    </x:row>
    <x:row r="50" ht="22" customHeight="1">
      <x:c r="A50" s="2" t="str">
        <x:v>S44</x:v>
      </x:c>
      <x:c r="B50" s="9" t="n">
        <x:v>0</x:v>
      </x:c>
      <x:c r="C50" s="9" t="n">
        <x:v>0</x:v>
      </x:c>
      <x:c r="D50" s="9" t="n">
        <x:v>0</x:v>
      </x:c>
      <x:c r="E50" s="9" t="n">
        <x:v>0</x:v>
      </x:c>
      <x:c r="F50" s="9" t="n">
        <x:v>0</x:v>
      </x:c>
      <x:c r="G50" s="9" t="n">
        <x:v>0</x:v>
      </x:c>
      <x:c r="H50" s="9" t="n">
        <x:v>0</x:v>
      </x:c>
      <x:c r="I50" s="9" t="n">
        <x:v>0</x:v>
      </x:c>
      <x:c r="J50" s="9" t="n">
        <x:v>0</x:v>
      </x:c>
      <x:c r="K50" s="9" t="n">
        <x:v>0</x:v>
      </x:c>
      <x:c r="L50" s="9" t="n">
        <x:v>0</x:v>
      </x:c>
      <x:c r="M50" s="9" t="n">
        <x:v>0</x:v>
      </x:c>
      <x:c r="N50" s="9" t="n">
        <x:v>0</x:v>
      </x:c>
      <x:c r="O50" s="9" t="n">
        <x:v>0</x:v>
      </x:c>
      <x:c r="P50" s="9" t="n">
        <x:v>0</x:v>
      </x:c>
      <x:c r="Q50" s="9" t="n">
        <x:v>0</x:v>
      </x:c>
      <x:c r="R50" s="9" t="n">
        <x:v>0</x:v>
      </x:c>
      <x:c r="S50" s="9" t="n">
        <x:v>0</x:v>
      </x:c>
      <x:c r="T50" s="9" t="n">
        <x:v>0</x:v>
      </x:c>
      <x:c r="U50" s="9" t="n">
        <x:v>0</x:v>
      </x:c>
      <x:c r="V50" s="9" t="n">
        <x:v>0</x:v>
      </x:c>
      <x:c r="W50" s="9" t="n">
        <x:v>0</x:v>
      </x:c>
      <x:c r="X50" s="9" t="n">
        <x:v>0</x:v>
      </x:c>
      <x:c r="Y50" s="9" t="n">
        <x:v>0</x:v>
      </x:c>
      <x:c r="Z50" s="9" t="n">
        <x:v>0</x:v>
      </x:c>
      <x:c r="AA50" s="9" t="n">
        <x:v>0</x:v>
      </x:c>
      <x:c r="AB50" s="9" t="n">
        <x:v>0</x:v>
      </x:c>
      <x:c r="AC50" s="9" t="n">
        <x:v>0</x:v>
      </x:c>
      <x:c r="AD50" s="9" t="n">
        <x:v>0</x:v>
      </x:c>
      <x:c r="AE50" s="9" t="n">
        <x:v>0</x:v>
      </x:c>
      <x:c r="AF50" s="9" t="n">
        <x:v>0</x:v>
      </x:c>
      <x:c r="AG50" s="9" t="n">
        <x:v>0</x:v>
      </x:c>
      <x:c r="AH50" s="9" t="n">
        <x:v>0</x:v>
      </x:c>
      <x:c r="AI50" s="9" t="n">
        <x:v>0</x:v>
      </x:c>
      <x:c r="AJ50" s="9" t="n">
        <x:v>0</x:v>
      </x:c>
      <x:c r="AK50" s="9" t="n">
        <x:v>0</x:v>
      </x:c>
      <x:c r="AL50" s="9" t="n">
        <x:v>0</x:v>
      </x:c>
      <x:c r="AM50" s="9" t="n">
        <x:v>0</x:v>
      </x:c>
      <x:c r="AN50" s="9" t="n">
        <x:v>0</x:v>
      </x:c>
      <x:c r="AO50" s="9" t="n">
        <x:v>0</x:v>
      </x:c>
      <x:c r="AP50" s="9" t="n">
        <x:v>0</x:v>
      </x:c>
      <x:c r="AQ50" s="9" t="n">
        <x:v>0</x:v>
      </x:c>
      <x:c r="AR50" s="9" t="n">
        <x:v>0</x:v>
      </x:c>
      <x:c r="AS50" s="9" t="n">
        <x:v>0</x:v>
      </x:c>
      <x:c r="AT50" s="9" t="n">
        <x:v>0</x:v>
      </x:c>
      <x:c r="AU50" s="9" t="n">
        <x:v>0</x:v>
      </x:c>
      <x:c r="AV50" s="9" t="n">
        <x:v>0</x:v>
      </x:c>
      <x:c r="AW50" s="9" t="n">
        <x:v>0</x:v>
      </x:c>
      <x:c r="AX50" s="9" t="n">
        <x:v>0</x:v>
      </x:c>
      <x:c r="AY50" s="9" t="n">
        <x:v>0</x:v>
      </x:c>
      <x:c r="AZ50" s="9" t="n">
        <x:v>0</x:v>
      </x:c>
      <x:c r="BA50" s="9" t="n">
        <x:v>0</x:v>
      </x:c>
      <x:c r="BB50" s="9" t="n">
        <x:v>0</x:v>
      </x:c>
      <x:c r="BC50" s="9" t="n">
        <x:v>0</x:v>
      </x:c>
      <x:c r="BD50" s="9" t="n">
        <x:v>0</x:v>
      </x:c>
      <x:c r="BE50" s="9" t="n">
        <x:v>0</x:v>
      </x:c>
      <x:c r="BF50" s="9" t="n">
        <x:v>0</x:v>
      </x:c>
      <x:c r="BG50" s="9" t="n">
        <x:v>0</x:v>
      </x:c>
      <x:c r="BH50" s="9" t="n">
        <x:v>0</x:v>
      </x:c>
      <x:c r="BI50" s="9" t="n">
        <x:v>0</x:v>
      </x:c>
      <x:c r="BJ50" s="9" t="n">
        <x:v>0</x:v>
      </x:c>
      <x:c r="BK50" s="9" t="n">
        <x:v>0</x:v>
      </x:c>
      <x:c r="BL50" s="9" t="n">
        <x:v>0</x:v>
      </x:c>
      <x:c r="BM50" s="9" t="n">
        <x:v>0</x:v>
      </x:c>
      <x:c r="BN50" s="9" t="n">
        <x:v>0</x:v>
      </x:c>
      <x:c r="BO50" s="9" t="n">
        <x:v>0</x:v>
      </x:c>
      <x:c r="BP50" s="9" t="n">
        <x:v>0</x:v>
      </x:c>
      <x:c r="BQ50" s="9" t="n">
        <x:v>0</x:v>
      </x:c>
      <x:c r="BR50" s="9" t="n">
        <x:v>0</x:v>
      </x:c>
      <x:c r="BS50" s="9" t="n">
        <x:v>939200305.2809546</x:v>
      </x:c>
      <x:c r="BT50" s="9" t="n">
        <x:v>0</x:v>
      </x:c>
      <x:c r="BU50" s="9" t="n">
        <x:v>0</x:v>
      </x:c>
      <x:c r="BV50" s="9" t="n">
        <x:v>0</x:v>
      </x:c>
      <x:c r="BW50" s="16" t="n">
        <x:f>SUM(B50:BV50)</x:f>
        <x:v>939200305.2809546</x:v>
      </x:c>
    </x:row>
    <x:row r="51" ht="22" customHeight="1">
      <x:c r="A51" s="2" t="str">
        <x:v>S45</x:v>
      </x:c>
      <x:c r="B51" s="9" t="n">
        <x:v>379078.0925007587</x:v>
      </x:c>
      <x:c r="C51" s="9" t="n">
        <x:v>85220.31997001638</x:v>
      </x:c>
      <x:c r="D51" s="9" t="n">
        <x:v>234576.42892570666</x:v>
      </x:c>
      <x:c r="E51" s="9" t="n">
        <x:v>4022580.6962641906</x:v>
      </x:c>
      <x:c r="F51" s="9" t="n">
        <x:v>9447296.971369587</x:v>
      </x:c>
      <x:c r="G51" s="9" t="n">
        <x:v>5563490.516842408</x:v>
      </x:c>
      <x:c r="H51" s="9" t="n">
        <x:v>540183.290445853</x:v>
      </x:c>
      <x:c r="I51" s="9" t="n">
        <x:v>2553083.3252138346</x:v>
      </x:c>
      <x:c r="J51" s="9" t="n">
        <x:v>537572.2366131041</x:v>
      </x:c>
      <x:c r="K51" s="9" t="n">
        <x:v>2669226.5881405547</x:v>
      </x:c>
      <x:c r="L51" s="9" t="n">
        <x:v>3820696.391398891</x:v>
      </x:c>
      <x:c r="M51" s="9" t="n">
        <x:v>857939.3364020503</x:v>
      </x:c>
      <x:c r="N51" s="9" t="n">
        <x:v>4897439.689432529</x:v>
      </x:c>
      <x:c r="O51" s="9" t="n">
        <x:v>4292013.267466266</x:v>
      </x:c>
      <x:c r="P51" s="9" t="n">
        <x:v>4124697.3249408584</x:v>
      </x:c>
      <x:c r="Q51" s="9" t="n">
        <x:v>3543626.4095035573</x:v>
      </x:c>
      <x:c r="R51" s="9" t="n">
        <x:v>929845.2852813104</x:v>
      </x:c>
      <x:c r="S51" s="9" t="n">
        <x:v>4585305.600778993</x:v>
      </x:c>
      <x:c r="T51" s="9" t="n">
        <x:v>2852336.7345541217</x:v>
      </x:c>
      <x:c r="U51" s="9" t="n">
        <x:v>7684536.511231022</x:v>
      </x:c>
      <x:c r="V51" s="9" t="n">
        <x:v>1602858.9219090124</x:v>
      </x:c>
      <x:c r="W51" s="9" t="n">
        <x:v>2333073.5309294746</x:v>
      </x:c>
      <x:c r="X51" s="9" t="n">
        <x:v>1314486.7062246706</x:v>
      </x:c>
      <x:c r="Y51" s="9" t="n">
        <x:v>9904782.45737078</x:v>
      </x:c>
      <x:c r="Z51" s="9" t="n">
        <x:v>116861.93780033449</x:v>
      </x:c>
      <x:c r="AA51" s="9" t="n">
        <x:v>718396.524732337</x:v>
      </x:c>
      <x:c r="AB51" s="9" t="n">
        <x:v>24122676.839512564</x:v>
      </x:c>
      <x:c r="AC51" s="9" t="n">
        <x:v>5723839.834666093</x:v>
      </x:c>
      <x:c r="AD51" s="9" t="n">
        <x:v>49296047.080470346</x:v>
      </x:c>
      <x:c r="AE51" s="9" t="n">
        <x:v>19465570.612482484</x:v>
      </x:c>
      <x:c r="AF51" s="9" t="n">
        <x:v>6393517.347637622</x:v>
      </x:c>
      <x:c r="AG51" s="9" t="n">
        <x:v>2595294.944321865</x:v>
      </x:c>
      <x:c r="AH51" s="9" t="n">
        <x:v>3655520.959510844</x:v>
      </x:c>
      <x:c r="AI51" s="9" t="n">
        <x:v>9141484.087593462</x:v>
      </x:c>
      <x:c r="AJ51" s="9" t="n">
        <x:v>1299108.4230951634</x:v>
      </x:c>
      <x:c r="AK51" s="9" t="n">
        <x:v>7093003.226833465</x:v>
      </x:c>
      <x:c r="AL51" s="9" t="n">
        <x:v>1888413.0119222482</x:v>
      </x:c>
      <x:c r="AM51" s="9" t="n">
        <x:v>3883651.6403080486</x:v>
      </x:c>
      <x:c r="AN51" s="9" t="n">
        <x:v>1377839.6582898747</x:v>
      </x:c>
      <x:c r="AO51" s="9" t="n">
        <x:v>13002502.19023096</x:v>
      </x:c>
      <x:c r="AP51" s="9" t="n">
        <x:v>31476669.391752977</x:v>
      </x:c>
      <x:c r="AQ51" s="9" t="n">
        <x:v>862434.4714354976</x:v>
      </x:c>
      <x:c r="AR51" s="9" t="n">
        <x:v>4407155.554738801</x:v>
      </x:c>
      <x:c r="AS51" s="9" t="n">
        <x:v>12731085.000282347</x:v>
      </x:c>
      <x:c r="AT51" s="9" t="n">
        <x:v>150986.46176365463</x:v>
      </x:c>
      <x:c r="AU51" s="9" t="n">
        <x:v>24148698.4425801</x:v>
      </x:c>
      <x:c r="AV51" s="9" t="n">
        <x:v>2275640.3378223497</x:v>
      </x:c>
      <x:c r="AW51" s="9" t="n">
        <x:v>216467.79839790167</x:v>
      </x:c>
      <x:c r="AX51" s="9" t="n">
        <x:v>9294459.185969744</x:v>
      </x:c>
      <x:c r="AY51" s="9" t="n">
        <x:v>822312.249504249</x:v>
      </x:c>
      <x:c r="AZ51" s="9" t="n">
        <x:v>2104768.452517493</x:v>
      </x:c>
      <x:c r="BA51" s="9" t="n">
        <x:v>674987.1713267363</x:v>
      </x:c>
      <x:c r="BB51" s="9" t="n">
        <x:v>1663815.2476379385</x:v>
      </x:c>
      <x:c r="BC51" s="9" t="n">
        <x:v>3636541.063253132</x:v>
      </x:c>
      <x:c r="BD51" s="9" t="n">
        <x:v>13686736.88174765</x:v>
      </x:c>
      <x:c r="BE51" s="9" t="n">
        <x:v>2289346.077337877</x:v>
      </x:c>
      <x:c r="BF51" s="9" t="n">
        <x:v>16771889.57712565</x:v>
      </x:c>
      <x:c r="BG51" s="9" t="n">
        <x:v>134944.7512944943</x:v>
      </x:c>
      <x:c r="BH51" s="9" t="n">
        <x:v>1698599.3719259615</x:v>
      </x:c>
      <x:c r="BI51" s="9" t="n">
        <x:v>2932900.4965124675</x:v>
      </x:c>
      <x:c r="BJ51" s="9" t="n">
        <x:v>8208370.023762847</x:v>
      </x:c>
      <x:c r="BK51" s="9" t="n">
        <x:v>133472.6185517673</x:v>
      </x:c>
      <x:c r="BL51" s="9" t="n">
        <x:v>336726.1924776151</x:v>
      </x:c>
      <x:c r="BM51" s="9" t="n">
        <x:v>0</x:v>
      </x:c>
      <x:c r="BN51" s="9" t="n">
        <x:v>0</x:v>
      </x:c>
      <x:c r="BO51" s="9" t="n">
        <x:v>0</x:v>
      </x:c>
      <x:c r="BP51" s="9" t="n">
        <x:v>0</x:v>
      </x:c>
      <x:c r="BQ51" s="9" t="n">
        <x:v>0</x:v>
      </x:c>
      <x:c r="BR51" s="9" t="n">
        <x:v>0</x:v>
      </x:c>
      <x:c r="BS51" s="9" t="n">
        <x:v>42527032.42037818</x:v>
      </x:c>
      <x:c r="BT51" s="9" t="n">
        <x:v>351313.9195031227</x:v>
      </x:c>
      <x:c r="BU51" s="9" t="n">
        <x:v>7550242.476295308</x:v>
      </x:c>
      <x:c r="BV51" s="9" t="n">
        <x:v>21417211.363722097</x:v>
      </x:c>
      <x:c r="BW51" s="16" t="n">
        <x:f>SUM(B51:BV51)</x:f>
        <x:v>441054481.9527353</x:v>
      </x:c>
    </x:row>
    <x:row r="52" ht="22" customHeight="1">
      <x:c r="A52" s="2" t="str">
        <x:v>S46</x:v>
      </x:c>
      <x:c r="B52" s="9" t="n">
        <x:v>288633.69178036344</x:v>
      </x:c>
      <x:c r="C52" s="9" t="n">
        <x:v>42889.64466478022</x:v>
      </x:c>
      <x:c r="D52" s="9" t="n">
        <x:v>12295.636577613444</x:v>
      </x:c>
      <x:c r="E52" s="9" t="n">
        <x:v>9633957.553310411</x:v>
      </x:c>
      <x:c r="F52" s="9" t="n">
        <x:v>6794299.960689715</x:v>
      </x:c>
      <x:c r="G52" s="9" t="n">
        <x:v>5381456.297088607</x:v>
      </x:c>
      <x:c r="H52" s="9" t="n">
        <x:v>600580.7145265533</x:v>
      </x:c>
      <x:c r="I52" s="9" t="n">
        <x:v>1193987.9406092449</x:v>
      </x:c>
      <x:c r="J52" s="9" t="n">
        <x:v>189363.4497356876</x:v>
      </x:c>
      <x:c r="K52" s="9" t="n">
        <x:v>1281481.5162073604</x:v>
      </x:c>
      <x:c r="L52" s="9" t="n">
        <x:v>2002392.0729304757</x:v>
      </x:c>
      <x:c r="M52" s="9" t="n">
        <x:v>705135.6666109922</x:v>
      </x:c>
      <x:c r="N52" s="9" t="n">
        <x:v>2610467.1041482682</x:v>
      </x:c>
      <x:c r="O52" s="9" t="n">
        <x:v>4136514.7562863138</x:v>
      </x:c>
      <x:c r="P52" s="9" t="n">
        <x:v>4292904.104509902</x:v>
      </x:c>
      <x:c r="Q52" s="9" t="n">
        <x:v>5155617.029130089</x:v>
      </x:c>
      <x:c r="R52" s="9" t="n">
        <x:v>1535160.9457336238</x:v>
      </x:c>
      <x:c r="S52" s="9" t="n">
        <x:v>3338222.7714708643</x:v>
      </x:c>
      <x:c r="T52" s="9" t="n">
        <x:v>4794554.074378448</x:v>
      </x:c>
      <x:c r="U52" s="9" t="n">
        <x:v>7776131.352154378</x:v>
      </x:c>
      <x:c r="V52" s="9" t="n">
        <x:v>17389439.873149052</x:v>
      </x:c>
      <x:c r="W52" s="9" t="n">
        <x:v>2075566.6694853173</x:v>
      </x:c>
      <x:c r="X52" s="9" t="n">
        <x:v>3356824.729818914</x:v>
      </x:c>
      <x:c r="Y52" s="9" t="n">
        <x:v>20187944.137882557</x:v>
      </x:c>
      <x:c r="Z52" s="9" t="n">
        <x:v>610028.1518778681</x:v>
      </x:c>
      <x:c r="AA52" s="9" t="n">
        <x:v>698416.0620489744</x:v>
      </x:c>
      <x:c r="AB52" s="9" t="n">
        <x:v>70899340.04095347</x:v>
      </x:c>
      <x:c r="AC52" s="9" t="n">
        <x:v>1852282.4002189275</x:v>
      </x:c>
      <x:c r="AD52" s="9" t="n">
        <x:v>6748032.562981886</x:v>
      </x:c>
      <x:c r="AE52" s="9" t="n">
        <x:v>4752184.057483768</x:v>
      </x:c>
      <x:c r="AF52" s="9" t="n">
        <x:v>5396025.414077457</x:v>
      </x:c>
      <x:c r="AG52" s="9" t="n">
        <x:v>1435709.2278555427</x:v>
      </x:c>
      <x:c r="AH52" s="9" t="n">
        <x:v>8107754.808142905</x:v>
      </x:c>
      <x:c r="AI52" s="9" t="n">
        <x:v>2486185.259424662</x:v>
      </x:c>
      <x:c r="AJ52" s="9" t="n">
        <x:v>366674.28576779796</x:v>
      </x:c>
      <x:c r="AK52" s="9" t="n">
        <x:v>6505879.1805849</x:v>
      </x:c>
      <x:c r="AL52" s="9" t="n">
        <x:v>100428.31780748797</x:v>
      </x:c>
      <x:c r="AM52" s="9" t="n">
        <x:v>411644.4468353613</x:v>
      </x:c>
      <x:c r="AN52" s="9" t="n">
        <x:v>1080611.1076616696</x:v>
      </x:c>
      <x:c r="AO52" s="9" t="n">
        <x:v>2359335.855897468</x:v>
      </x:c>
      <x:c r="AP52" s="9" t="n">
        <x:v>227250.72079863027</x:v>
      </x:c>
      <x:c r="AQ52" s="9" t="n">
        <x:v>73474.15411335549</x:v>
      </x:c>
      <x:c r="AR52" s="9" t="n">
        <x:v>131147.03643942263</x:v>
      </x:c>
      <x:c r="AS52" s="9" t="n">
        <x:v>5368373.238458449</x:v>
      </x:c>
      <x:c r="AT52" s="9" t="n">
        <x:v>2940273.7550494717</x:v>
      </x:c>
      <x:c r="AU52" s="9" t="n">
        <x:v>2259716.6998567525</x:v>
      </x:c>
      <x:c r="AV52" s="9" t="n">
        <x:v>23570985.15689303</x:v>
      </x:c>
      <x:c r="AW52" s="9" t="n">
        <x:v>383175.44320010894</x:v>
      </x:c>
      <x:c r="AX52" s="9" t="n">
        <x:v>543555.8500101708</x:v>
      </x:c>
      <x:c r="AY52" s="9" t="n">
        <x:v>805513.7470672406</x:v>
      </x:c>
      <x:c r="AZ52" s="9" t="n">
        <x:v>1082619.0503752253</x:v>
      </x:c>
      <x:c r="BA52" s="9" t="n">
        <x:v>250968.73434532923</x:v>
      </x:c>
      <x:c r="BB52" s="9" t="n">
        <x:v>514941.38052504905</x:v>
      </x:c>
      <x:c r="BC52" s="9" t="n">
        <x:v>1441233.6051045512</x:v>
      </x:c>
      <x:c r="BD52" s="9" t="n">
        <x:v>14145419.05478</x:v>
      </x:c>
      <x:c r="BE52" s="9" t="n">
        <x:v>889510.501875513</x:v>
      </x:c>
      <x:c r="BF52" s="9" t="n">
        <x:v>1286265.6151299516</x:v>
      </x:c>
      <x:c r="BG52" s="9" t="n">
        <x:v>123617.78861408429</x:v>
      </x:c>
      <x:c r="BH52" s="9" t="n">
        <x:v>168221.21018743524</x:v>
      </x:c>
      <x:c r="BI52" s="9" t="n">
        <x:v>406019.31271825475</x:v>
      </x:c>
      <x:c r="BJ52" s="9" t="n">
        <x:v>83816.6721253213</x:v>
      </x:c>
      <x:c r="BK52" s="9" t="n">
        <x:v>130429.18644833456</x:v>
      </x:c>
      <x:c r="BL52" s="9" t="n">
        <x:v>237439.91567078576</x:v>
      </x:c>
      <x:c r="BM52" s="9" t="n">
        <x:v>0</x:v>
      </x:c>
      <x:c r="BN52" s="9" t="n">
        <x:v>0</x:v>
      </x:c>
      <x:c r="BO52" s="9" t="n">
        <x:v>0</x:v>
      </x:c>
      <x:c r="BP52" s="9" t="n">
        <x:v>0</x:v>
      </x:c>
      <x:c r="BQ52" s="9" t="n">
        <x:v>0</x:v>
      </x:c>
      <x:c r="BR52" s="9" t="n">
        <x:v>0</x:v>
      </x:c>
      <x:c r="BS52" s="9" t="n">
        <x:v>7305243.336426452</x:v>
      </x:c>
      <x:c r="BT52" s="9" t="n">
        <x:v>862292.3096057686</x:v>
      </x:c>
      <x:c r="BU52" s="9" t="n">
        <x:v>60171669.291285016</x:v>
      </x:c>
      <x:c r="BV52" s="9" t="n">
        <x:v>43297822.7539339</x:v>
      </x:c>
      <x:c r="BW52" s="16" t="n">
        <x:f>SUM(B52:BV52)</x:f>
        <x:v>387287348.39353734</x:v>
      </x:c>
    </x:row>
    <x:row r="53" ht="22" customHeight="1">
      <x:c r="A53" s="2" t="str">
        <x:v>S47</x:v>
      </x:c>
      <x:c r="B53" s="9" t="n">
        <x:v>125140.24860117375</x:v>
      </x:c>
      <x:c r="C53" s="9" t="n">
        <x:v>483.7397681542319</x:v>
      </x:c>
      <x:c r="D53" s="9" t="n">
        <x:v>1042.2852061461767</x:v>
      </x:c>
      <x:c r="E53" s="9" t="n">
        <x:v>15561.909010662677</x:v>
      </x:c>
      <x:c r="F53" s="9" t="n">
        <x:v>190366.79721171324</x:v>
      </x:c>
      <x:c r="G53" s="9" t="n">
        <x:v>75299.1169841614</x:v>
      </x:c>
      <x:c r="H53" s="9" t="n">
        <x:v>9693.556373481908</x:v>
      </x:c>
      <x:c r="I53" s="9" t="n">
        <x:v>17472.489237042904</x:v>
      </x:c>
      <x:c r="J53" s="9" t="n">
        <x:v>7464.779339208754</x:v>
      </x:c>
      <x:c r="K53" s="9" t="n">
        <x:v>12754.601529913765</x:v>
      </x:c>
      <x:c r="L53" s="9" t="n">
        <x:v>132165.3211558283</x:v>
      </x:c>
      <x:c r="M53" s="9" t="n">
        <x:v>27026.7105383001</x:v>
      </x:c>
      <x:c r="N53" s="9" t="n">
        <x:v>73156.13689465683</x:v>
      </x:c>
      <x:c r="O53" s="9" t="n">
        <x:v>27672.024988180554</x:v>
      </x:c>
      <x:c r="P53" s="9" t="n">
        <x:v>21817.119855307687</x:v>
      </x:c>
      <x:c r="Q53" s="9" t="n">
        <x:v>28925.46202418979</x:v>
      </x:c>
      <x:c r="R53" s="9" t="n">
        <x:v>95239.03049806118</x:v>
      </x:c>
      <x:c r="S53" s="9" t="n">
        <x:v>52484.3677494602</x:v>
      </x:c>
      <x:c r="T53" s="9" t="n">
        <x:v>42464.69005772026</x:v>
      </x:c>
      <x:c r="U53" s="9" t="n">
        <x:v>56312.1044497402</x:v>
      </x:c>
      <x:c r="V53" s="9" t="n">
        <x:v>77966.47172269173</x:v>
      </x:c>
      <x:c r="W53" s="9" t="n">
        <x:v>18505.497939137713</x:v>
      </x:c>
      <x:c r="X53" s="9" t="n">
        <x:v>20830.970855879707</x:v>
      </x:c>
      <x:c r="Y53" s="9" t="n">
        <x:v>34877.67765659022</x:v>
      </x:c>
      <x:c r="Z53" s="9" t="n">
        <x:v>2126.272905001216</x:v>
      </x:c>
      <x:c r="AA53" s="9" t="n">
        <x:v>8305.922395993683</x:v>
      </x:c>
      <x:c r="AB53" s="9" t="n">
        <x:v>130558.66444409302</x:v>
      </x:c>
      <x:c r="AC53" s="9" t="n">
        <x:v>18435.011315772754</x:v>
      </x:c>
      <x:c r="AD53" s="9" t="n">
        <x:v>95514.87670737418</x:v>
      </x:c>
      <x:c r="AE53" s="9" t="n">
        <x:v>82042.92311524131</x:v>
      </x:c>
      <x:c r="AF53" s="9" t="n">
        <x:v>65679.19558510558</x:v>
      </x:c>
      <x:c r="AG53" s="9" t="n">
        <x:v>16897.5905473649</x:v>
      </x:c>
      <x:c r="AH53" s="9" t="n">
        <x:v>69414.77857860463</x:v>
      </x:c>
      <x:c r="AI53" s="9" t="n">
        <x:v>49024.00928772095</x:v>
      </x:c>
      <x:c r="AJ53" s="9" t="n">
        <x:v>8003.8799793342405</x:v>
      </x:c>
      <x:c r="AK53" s="9" t="n">
        <x:v>36272.760167836226</x:v>
      </x:c>
      <x:c r="AL53" s="9" t="n">
        <x:v>17678.013025787204</x:v>
      </x:c>
      <x:c r="AM53" s="9" t="n">
        <x:v>6631.809880394907</x:v>
      </x:c>
      <x:c r="AN53" s="9" t="n">
        <x:v>20533.06979594497</x:v>
      </x:c>
      <x:c r="AO53" s="9" t="n">
        <x:v>77495.32337296318</x:v>
      </x:c>
      <x:c r="AP53" s="9" t="n">
        <x:v>38011.803498549954</x:v>
      </x:c>
      <x:c r="AQ53" s="9" t="n">
        <x:v>13289.651429642696</x:v>
      </x:c>
      <x:c r="AR53" s="9" t="n">
        <x:v>12959.778320963747</x:v>
      </x:c>
      <x:c r="AS53" s="9" t="n">
        <x:v>15679.560001712065</x:v>
      </x:c>
      <x:c r="AT53" s="9" t="n">
        <x:v>3930.652391936003</x:v>
      </x:c>
      <x:c r="AU53" s="9" t="n">
        <x:v>25222.906810062756</x:v>
      </x:c>
      <x:c r="AV53" s="9" t="n">
        <x:v>27272.454152460625</x:v>
      </x:c>
      <x:c r="AW53" s="9" t="n">
        <x:v>34957.691275741265</x:v>
      </x:c>
      <x:c r="AX53" s="9" t="n">
        <x:v>24367.66318116397</x:v>
      </x:c>
      <x:c r="AY53" s="9" t="n">
        <x:v>4553.899756575843</x:v>
      </x:c>
      <x:c r="AZ53" s="9" t="n">
        <x:v>13398.803656897779</x:v>
      </x:c>
      <x:c r="BA53" s="9" t="n">
        <x:v>2125.3868273727935</x:v>
      </x:c>
      <x:c r="BB53" s="9" t="n">
        <x:v>6100.619971395812</x:v>
      </x:c>
      <x:c r="BC53" s="9" t="n">
        <x:v>19253.955047716667</x:v>
      </x:c>
      <x:c r="BD53" s="9" t="n">
        <x:v>45951.370088823845</x:v>
      </x:c>
      <x:c r="BE53" s="9" t="n">
        <x:v>28098.767701249275</x:v>
      </x:c>
      <x:c r="BF53" s="9" t="n">
        <x:v>51605.90909366402</x:v>
      </x:c>
      <x:c r="BG53" s="9" t="n">
        <x:v>1140.058790937154</x:v>
      </x:c>
      <x:c r="BH53" s="9" t="n">
        <x:v>9951.04281740305</x:v>
      </x:c>
      <x:c r="BI53" s="9" t="n">
        <x:v>2713.884196577027</x:v>
      </x:c>
      <x:c r="BJ53" s="9" t="n">
        <x:v>2924.728668461408</x:v>
      </x:c>
      <x:c r="BK53" s="9" t="n">
        <x:v>8195.220942049062</x:v>
      </x:c>
      <x:c r="BL53" s="9" t="n">
        <x:v>2995.366632162987</x:v>
      </x:c>
      <x:c r="BM53" s="9" t="n">
        <x:v>0</x:v>
      </x:c>
      <x:c r="BN53" s="9" t="n">
        <x:v>0</x:v>
      </x:c>
      <x:c r="BO53" s="9" t="n">
        <x:v>0</x:v>
      </x:c>
      <x:c r="BP53" s="9" t="n">
        <x:v>0</x:v>
      </x:c>
      <x:c r="BQ53" s="9" t="n">
        <x:v>0</x:v>
      </x:c>
      <x:c r="BR53" s="9" t="n">
        <x:v>0</x:v>
      </x:c>
      <x:c r="BS53" s="9" t="n">
        <x:v>701677.4195078921</x:v>
      </x:c>
      <x:c r="BT53" s="9" t="n">
        <x:v>847634.0242034344</x:v>
      </x:c>
      <x:c r="BU53" s="9" t="n">
        <x:v>24795252.562336292</x:v>
      </x:c>
      <x:c r="BV53" s="9" t="n">
        <x:v>1439199.7426041858</x:v>
      </x:c>
      <x:c r="BW53" s="16" t="n">
        <x:f>SUM(B53:BV53)</x:f>
        <x:v>30047802.13465726</x:v>
      </x:c>
    </x:row>
    <x:row r="54" ht="22" customHeight="1">
      <x:c r="A54" s="2" t="str">
        <x:v>S48</x:v>
      </x:c>
      <x:c r="B54" s="9" t="n">
        <x:v>194265.74891741973</x:v>
      </x:c>
      <x:c r="C54" s="9" t="n">
        <x:v>213398.642540716</x:v>
      </x:c>
      <x:c r="D54" s="9" t="n">
        <x:v>40755.69725642213</x:v>
      </x:c>
      <x:c r="E54" s="9" t="n">
        <x:v>497069.8632315356</x:v>
      </x:c>
      <x:c r="F54" s="9" t="n">
        <x:v>7624283.202021794</x:v>
      </x:c>
      <x:c r="G54" s="9" t="n">
        <x:v>1631951.467019833</x:v>
      </x:c>
      <x:c r="H54" s="9" t="n">
        <x:v>210308.1947653588</x:v>
      </x:c>
      <x:c r="I54" s="9" t="n">
        <x:v>2163805.3330769003</x:v>
      </x:c>
      <x:c r="J54" s="9" t="n">
        <x:v>956243.9691833922</x:v>
      </x:c>
      <x:c r="K54" s="9" t="n">
        <x:v>678407.1190581287</x:v>
      </x:c>
      <x:c r="L54" s="9" t="n">
        <x:v>1772611.694396813</x:v>
      </x:c>
      <x:c r="M54" s="9" t="n">
        <x:v>665434.36051659</x:v>
      </x:c>
      <x:c r="N54" s="9" t="n">
        <x:v>1433071.561506597</x:v>
      </x:c>
      <x:c r="O54" s="9" t="n">
        <x:v>1064378.0177715488</x:v>
      </x:c>
      <x:c r="P54" s="9" t="n">
        <x:v>449824.85266399564</x:v>
      </x:c>
      <x:c r="Q54" s="9" t="n">
        <x:v>1034848.2491307643</x:v>
      </x:c>
      <x:c r="R54" s="9" t="n">
        <x:v>406856.7712162825</x:v>
      </x:c>
      <x:c r="S54" s="9" t="n">
        <x:v>2929010.581331577</x:v>
      </x:c>
      <x:c r="T54" s="9" t="n">
        <x:v>817445.8817801035</x:v>
      </x:c>
      <x:c r="U54" s="9" t="n">
        <x:v>1938825.1588097857</x:v>
      </x:c>
      <x:c r="V54" s="9" t="n">
        <x:v>397990.0181653483</x:v>
      </x:c>
      <x:c r="W54" s="9" t="n">
        <x:v>1745364.985178368</x:v>
      </x:c>
      <x:c r="X54" s="9" t="n">
        <x:v>328401.5657290956</x:v>
      </x:c>
      <x:c r="Y54" s="9" t="n">
        <x:v>684068.3712670987</x:v>
      </x:c>
      <x:c r="Z54" s="9" t="n">
        <x:v>38315.29986973407</x:v>
      </x:c>
      <x:c r="AA54" s="9" t="n">
        <x:v>146869.64980774577</x:v>
      </x:c>
      <x:c r="AB54" s="9" t="n">
        <x:v>6866296.179666072</x:v>
      </x:c>
      <x:c r="AC54" s="9" t="n">
        <x:v>1873880.2244781945</x:v>
      </x:c>
      <x:c r="AD54" s="9" t="n">
        <x:v>49257002.43915733</x:v>
      </x:c>
      <x:c r="AE54" s="9" t="n">
        <x:v>8748485.432407837</x:v>
      </x:c>
      <x:c r="AF54" s="9" t="n">
        <x:v>990472.2922795904</x:v>
      </x:c>
      <x:c r="AG54" s="9" t="n">
        <x:v>397584.1007947598</x:v>
      </x:c>
      <x:c r="AH54" s="9" t="n">
        <x:v>5146592.647800646</x:v>
      </x:c>
      <x:c r="AI54" s="9" t="n">
        <x:v>867396.2026786341</x:v>
      </x:c>
      <x:c r="AJ54" s="9" t="n">
        <x:v>356412.7638916827</x:v>
      </x:c>
      <x:c r="AK54" s="9" t="n">
        <x:v>5553621.263832879</x:v>
      </x:c>
      <x:c r="AL54" s="9" t="n">
        <x:v>1555225.0687653597</x:v>
      </x:c>
      <x:c r="AM54" s="9" t="n">
        <x:v>5413327.699047497</x:v>
      </x:c>
      <x:c r="AN54" s="9" t="n">
        <x:v>4585154.068559263</x:v>
      </x:c>
      <x:c r="AO54" s="9" t="n">
        <x:v>7005407.9596062545</x:v>
      </x:c>
      <x:c r="AP54" s="9" t="n">
        <x:v>14272444.198847258</x:v>
      </x:c>
      <x:c r="AQ54" s="9" t="n">
        <x:v>511450.9449728344</x:v>
      </x:c>
      <x:c r="AR54" s="9" t="n">
        <x:v>1274913.9967472013</x:v>
      </x:c>
      <x:c r="AS54" s="9" t="n">
        <x:v>2078845.6031766161</x:v>
      </x:c>
      <x:c r="AT54" s="9" t="n">
        <x:v>23373.684567556393</x:v>
      </x:c>
      <x:c r="AU54" s="9" t="n">
        <x:v>2716292.95270068</x:v>
      </x:c>
      <x:c r="AV54" s="9" t="n">
        <x:v>628508.8979834109</x:v>
      </x:c>
      <x:c r="AW54" s="9" t="n">
        <x:v>31748.817294292552</x:v>
      </x:c>
      <x:c r="AX54" s="9" t="n">
        <x:v>41287810.12413612</x:v>
      </x:c>
      <x:c r="AY54" s="9" t="n">
        <x:v>781297.8506902104</x:v>
      </x:c>
      <x:c r="AZ54" s="9" t="n">
        <x:v>2018124.812278169</x:v>
      </x:c>
      <x:c r="BA54" s="9" t="n">
        <x:v>157029.54254059415</x:v>
      </x:c>
      <x:c r="BB54" s="9" t="n">
        <x:v>1174830.7782523138</x:v>
      </x:c>
      <x:c r="BC54" s="9" t="n">
        <x:v>7299841.234100804</x:v>
      </x:c>
      <x:c r="BD54" s="9" t="n">
        <x:v>2436930.49575727</x:v>
      </x:c>
      <x:c r="BE54" s="9" t="n">
        <x:v>1142421.6354110702</x:v>
      </x:c>
      <x:c r="BF54" s="9" t="n">
        <x:v>2122925.229926165</x:v>
      </x:c>
      <x:c r="BG54" s="9" t="n">
        <x:v>52848.21900538514</x:v>
      </x:c>
      <x:c r="BH54" s="9" t="n">
        <x:v>3829173.274620191</x:v>
      </x:c>
      <x:c r="BI54" s="9" t="n">
        <x:v>708850.8239643638</x:v>
      </x:c>
      <x:c r="BJ54" s="9" t="n">
        <x:v>1605311.0130188456</x:v>
      </x:c>
      <x:c r="BK54" s="9" t="n">
        <x:v>54833.04348614469</x:v>
      </x:c>
      <x:c r="BL54" s="9" t="n">
        <x:v>249493.58883126365</x:v>
      </x:c>
      <x:c r="BM54" s="9" t="n">
        <x:v>0</x:v>
      </x:c>
      <x:c r="BN54" s="9" t="n">
        <x:v>0</x:v>
      </x:c>
      <x:c r="BO54" s="9" t="n">
        <x:v>0</x:v>
      </x:c>
      <x:c r="BP54" s="9" t="n">
        <x:v>0</x:v>
      </x:c>
      <x:c r="BQ54" s="9" t="n">
        <x:v>0</x:v>
      </x:c>
      <x:c r="BR54" s="9" t="n">
        <x:v>0</x:v>
      </x:c>
      <x:c r="BS54" s="9" t="n">
        <x:v>3468196.405904333</x:v>
      </x:c>
      <x:c r="BT54" s="9" t="n">
        <x:v>626226.5313975542</x:v>
      </x:c>
      <x:c r="BU54" s="9" t="n">
        <x:v>1923157.5055714452</x:v>
      </x:c>
      <x:c r="BV54" s="9" t="n">
        <x:v>10182496.932951372</x:v>
      </x:c>
      <x:c r="BW54" s="16" t="n">
        <x:f>SUM(B54:BV54)</x:f>
        <x:v>231340042.73731244</x:v>
      </x:c>
    </x:row>
    <x:row r="55" ht="22" customHeight="1">
      <x:c r="A55" s="2" t="str">
        <x:v>S49</x:v>
      </x:c>
      <x:c r="B55" s="9" t="n">
        <x:v>7267911.478222577</x:v>
      </x:c>
      <x:c r="C55" s="9" t="n">
        <x:v>5045.838738795418</x:v>
      </x:c>
      <x:c r="D55" s="9" t="n">
        <x:v>2711.1533983999807</x:v>
      </x:c>
      <x:c r="E55" s="9" t="n">
        <x:v>1467441.2736290013</x:v>
      </x:c>
      <x:c r="F55" s="9" t="n">
        <x:v>1945421.48541224</x:v>
      </x:c>
      <x:c r="G55" s="9" t="n">
        <x:v>1946465.4818642382</x:v>
      </x:c>
      <x:c r="H55" s="9" t="n">
        <x:v>196049.21571585984</x:v>
      </x:c>
      <x:c r="I55" s="9" t="n">
        <x:v>446278.99377151276</x:v>
      </x:c>
      <x:c r="J55" s="9" t="n">
        <x:v>289040.7162018631</x:v>
      </x:c>
      <x:c r="K55" s="9" t="n">
        <x:v>230813.5116856325</x:v>
      </x:c>
      <x:c r="L55" s="9" t="n">
        <x:v>564499.897836845</x:v>
      </x:c>
      <x:c r="M55" s="9" t="n">
        <x:v>173619.51546560155</x:v>
      </x:c>
      <x:c r="N55" s="9" t="n">
        <x:v>774138.7306273434</x:v>
      </x:c>
      <x:c r="O55" s="9" t="n">
        <x:v>818668.3766636081</x:v>
      </x:c>
      <x:c r="P55" s="9" t="n">
        <x:v>536582.6463178423</x:v>
      </x:c>
      <x:c r="Q55" s="9" t="n">
        <x:v>1033003.4692552862</x:v>
      </x:c>
      <x:c r="R55" s="9" t="n">
        <x:v>235784.9077322783</x:v>
      </x:c>
      <x:c r="S55" s="9" t="n">
        <x:v>961015.5674976457</x:v>
      </x:c>
      <x:c r="T55" s="9" t="n">
        <x:v>992764.9124413374</x:v>
      </x:c>
      <x:c r="U55" s="9" t="n">
        <x:v>2085742.0278445873</x:v>
      </x:c>
      <x:c r="V55" s="9" t="n">
        <x:v>2119688.9849398024</x:v>
      </x:c>
      <x:c r="W55" s="9" t="n">
        <x:v>1061268.1436446595</x:v>
      </x:c>
      <x:c r="X55" s="9" t="n">
        <x:v>581180.5385207115</x:v>
      </x:c>
      <x:c r="Y55" s="9" t="n">
        <x:v>1628425.611747393</x:v>
      </x:c>
      <x:c r="Z55" s="9" t="n">
        <x:v>70772.09001770201</x:v>
      </x:c>
      <x:c r="AA55" s="9" t="n">
        <x:v>153150.80513613945</x:v>
      </x:c>
      <x:c r="AB55" s="9" t="n">
        <x:v>10699920.982609179</x:v>
      </x:c>
      <x:c r="AC55" s="9" t="n">
        <x:v>802306.8000254132</x:v>
      </x:c>
      <x:c r="AD55" s="9" t="n">
        <x:v>6968905.246826268</x:v>
      </x:c>
      <x:c r="AE55" s="9" t="n">
        <x:v>2832226.4680266343</x:v>
      </x:c>
      <x:c r="AF55" s="9" t="n">
        <x:v>2336952.68216996</x:v>
      </x:c>
      <x:c r="AG55" s="9" t="n">
        <x:v>865148.6937533967</x:v>
      </x:c>
      <x:c r="AH55" s="9" t="n">
        <x:v>4478552.042823823</x:v>
      </x:c>
      <x:c r="AI55" s="9" t="n">
        <x:v>828374.8554808313</x:v>
      </x:c>
      <x:c r="AJ55" s="9" t="n">
        <x:v>234592.90307810102</x:v>
      </x:c>
      <x:c r="AK55" s="9" t="n">
        <x:v>3340275.688712274</x:v>
      </x:c>
      <x:c r="AL55" s="9" t="n">
        <x:v>112516.13201859072</x:v>
      </x:c>
      <x:c r="AM55" s="9" t="n">
        <x:v>1246501.6394767694</x:v>
      </x:c>
      <x:c r="AN55" s="9" t="n">
        <x:v>150570.76761121314</x:v>
      </x:c>
      <x:c r="AO55" s="9" t="n">
        <x:v>906162.7981864405</x:v>
      </x:c>
      <x:c r="AP55" s="9" t="n">
        <x:v>1951131.9846409247</x:v>
      </x:c>
      <x:c r="AQ55" s="9" t="n">
        <x:v>95056.61822967943</x:v>
      </x:c>
      <x:c r="AR55" s="9" t="n">
        <x:v>80255.39202120433</x:v>
      </x:c>
      <x:c r="AS55" s="9" t="n">
        <x:v>916899.8589817326</x:v>
      </x:c>
      <x:c r="AT55" s="9" t="n">
        <x:v>28129.948341315132</x:v>
      </x:c>
      <x:c r="AU55" s="9" t="n">
        <x:v>1062603.6070330425</x:v>
      </x:c>
      <x:c r="AV55" s="9" t="n">
        <x:v>1977614.5857831137</x:v>
      </x:c>
      <x:c r="AW55" s="9" t="n">
        <x:v>142935.1632043771</x:v>
      </x:c>
      <x:c r="AX55" s="9" t="n">
        <x:v>1396510.0616901605</x:v>
      </x:c>
      <x:c r="AY55" s="9" t="n">
        <x:v>3176734.1789045995</x:v>
      </x:c>
      <x:c r="AZ55" s="9" t="n">
        <x:v>329432.9220222482</x:v>
      </x:c>
      <x:c r="BA55" s="9" t="n">
        <x:v>237581.2600626692</x:v>
      </x:c>
      <x:c r="BB55" s="9" t="n">
        <x:v>388726.97200250544</x:v>
      </x:c>
      <x:c r="BC55" s="9" t="n">
        <x:v>955176.6944698639</x:v>
      </x:c>
      <x:c r="BD55" s="9" t="n">
        <x:v>720744.8749359704</x:v>
      </x:c>
      <x:c r="BE55" s="9" t="n">
        <x:v>432752.08760409756</x:v>
      </x:c>
      <x:c r="BF55" s="9" t="n">
        <x:v>1420663.9496018253</x:v>
      </x:c>
      <x:c r="BG55" s="9" t="n">
        <x:v>51665.84010326685</x:v>
      </x:c>
      <x:c r="BH55" s="9" t="n">
        <x:v>227984.12843759384</x:v>
      </x:c>
      <x:c r="BI55" s="9" t="n">
        <x:v>993907.2802985196</x:v>
      </x:c>
      <x:c r="BJ55" s="9" t="n">
        <x:v>78305.49006187874</x:v>
      </x:c>
      <x:c r="BK55" s="9" t="n">
        <x:v>48442.41410621787</x:v>
      </x:c>
      <x:c r="BL55" s="9" t="n">
        <x:v>151381.78357317962</x:v>
      </x:c>
      <x:c r="BM55" s="9" t="n">
        <x:v>0</x:v>
      </x:c>
      <x:c r="BN55" s="9" t="n">
        <x:v>0</x:v>
      </x:c>
      <x:c r="BO55" s="9" t="n">
        <x:v>0</x:v>
      </x:c>
      <x:c r="BP55" s="9" t="n">
        <x:v>0</x:v>
      </x:c>
      <x:c r="BQ55" s="9" t="n">
        <x:v>0</x:v>
      </x:c>
      <x:c r="BR55" s="9" t="n">
        <x:v>0</x:v>
      </x:c>
      <x:c r="BS55" s="9" t="n">
        <x:v>14589510.077092418</x:v>
      </x:c>
      <x:c r="BT55" s="9" t="n">
        <x:v>589199.600691282</x:v>
      </x:c>
      <x:c r="BU55" s="9" t="n">
        <x:v>2266577.4446939384</x:v>
      </x:c>
      <x:c r="BV55" s="9" t="n">
        <x:v>12962685.503296016</x:v>
      </x:c>
      <x:c r="BW55" s="16" t="n">
        <x:f>SUM(B55:BV55)</x:f>
        <x:v>110663102.79701145</x:v>
      </x:c>
    </x:row>
    <x:row r="56" ht="22" customHeight="1">
      <x:c r="A56" s="2" t="str">
        <x:v>S50</x:v>
      </x:c>
      <x:c r="B56" s="9" t="n">
        <x:v>345119.7045758515</x:v>
      </x:c>
      <x:c r="C56" s="9" t="n">
        <x:v>49939.246155708664</x:v>
      </x:c>
      <x:c r="D56" s="9" t="n">
        <x:v>11182.552460878329</x:v>
      </x:c>
      <x:c r="E56" s="9" t="n">
        <x:v>2267863.354484611</x:v>
      </x:c>
      <x:c r="F56" s="9" t="n">
        <x:v>2805691.5765897343</x:v>
      </x:c>
      <x:c r="G56" s="9" t="n">
        <x:v>1577451.5406018249</x:v>
      </x:c>
      <x:c r="H56" s="9" t="n">
        <x:v>181076.00217396568</x:v>
      </x:c>
      <x:c r="I56" s="9" t="n">
        <x:v>658603.4828158098</x:v>
      </x:c>
      <x:c r="J56" s="9" t="n">
        <x:v>211085.63992883335</x:v>
      </x:c>
      <x:c r="K56" s="9" t="n">
        <x:v>315952.332489477</x:v>
      </x:c>
      <x:c r="L56" s="9" t="n">
        <x:v>857924.21841798</x:v>
      </x:c>
      <x:c r="M56" s="9" t="n">
        <x:v>412941.0927289627</x:v>
      </x:c>
      <x:c r="N56" s="9" t="n">
        <x:v>989198.0184303405</x:v>
      </x:c>
      <x:c r="O56" s="9" t="n">
        <x:v>2311200.0340720103</x:v>
      </x:c>
      <x:c r="P56" s="9" t="n">
        <x:v>715166.8770419755</x:v>
      </x:c>
      <x:c r="Q56" s="9" t="n">
        <x:v>1238850.7102729194</x:v>
      </x:c>
      <x:c r="R56" s="9" t="n">
        <x:v>336239.8866473842</x:v>
      </x:c>
      <x:c r="S56" s="9" t="n">
        <x:v>1020352.2892646035</x:v>
      </x:c>
      <x:c r="T56" s="9" t="n">
        <x:v>1260987.3221516246</x:v>
      </x:c>
      <x:c r="U56" s="9" t="n">
        <x:v>3948014.497162672</x:v>
      </x:c>
      <x:c r="V56" s="9" t="n">
        <x:v>483778.76870212</x:v>
      </x:c>
      <x:c r="W56" s="9" t="n">
        <x:v>693245.5632161931</x:v>
      </x:c>
      <x:c r="X56" s="9" t="n">
        <x:v>962269.7138971391</x:v>
      </x:c>
      <x:c r="Y56" s="9" t="n">
        <x:v>5833088.391703502</x:v>
      </x:c>
      <x:c r="Z56" s="9" t="n">
        <x:v>159711.24389471245</x:v>
      </x:c>
      <x:c r="AA56" s="9" t="n">
        <x:v>1204740.0834687513</x:v>
      </x:c>
      <x:c r="AB56" s="9" t="n">
        <x:v>21128193.052782178</x:v>
      </x:c>
      <x:c r="AC56" s="9" t="n">
        <x:v>4159005.880031923</x:v>
      </x:c>
      <x:c r="AD56" s="9" t="n">
        <x:v>12818207.629282583</x:v>
      </x:c>
      <x:c r="AE56" s="9" t="n">
        <x:v>2858703.9231152297</x:v>
      </x:c>
      <x:c r="AF56" s="9" t="n">
        <x:v>27652250.14612159</x:v>
      </x:c>
      <x:c r="AG56" s="9" t="n">
        <x:v>3257587.534072455</x:v>
      </x:c>
      <x:c r="AH56" s="9" t="n">
        <x:v>11378450.667311635</x:v>
      </x:c>
      <x:c r="AI56" s="9" t="n">
        <x:v>5299264.516331115</x:v>
      </x:c>
      <x:c r="AJ56" s="9" t="n">
        <x:v>1465603.1556075385</x:v>
      </x:c>
      <x:c r="AK56" s="9" t="n">
        <x:v>3795426.4810984796</x:v>
      </x:c>
      <x:c r="AL56" s="9" t="n">
        <x:v>133099.17311073493</x:v>
      </x:c>
      <x:c r="AM56" s="9" t="n">
        <x:v>951114.8111913427</x:v>
      </x:c>
      <x:c r="AN56" s="9" t="n">
        <x:v>396839.4227848263</x:v>
      </x:c>
      <x:c r="AO56" s="9" t="n">
        <x:v>1305308.0909697409</x:v>
      </x:c>
      <x:c r="AP56" s="9" t="n">
        <x:v>23864453.628070503</x:v>
      </x:c>
      <x:c r="AQ56" s="9" t="n">
        <x:v>12357085.366513053</x:v>
      </x:c>
      <x:c r="AR56" s="9" t="n">
        <x:v>6805521.760286405</x:v>
      </x:c>
      <x:c r="AS56" s="9" t="n">
        <x:v>2292089.6215025987</x:v>
      </x:c>
      <x:c r="AT56" s="9" t="n">
        <x:v>39996.145139941844</x:v>
      </x:c>
      <x:c r="AU56" s="9" t="n">
        <x:v>1569765.358444466</x:v>
      </x:c>
      <x:c r="AV56" s="9" t="n">
        <x:v>2257629.1602113275</x:v>
      </x:c>
      <x:c r="AW56" s="9" t="n">
        <x:v>155852.65502508348</x:v>
      </x:c>
      <x:c r="AX56" s="9" t="n">
        <x:v>1211491.4922732986</x:v>
      </x:c>
      <x:c r="AY56" s="9" t="n">
        <x:v>368326.2058267853</x:v>
      </x:c>
      <x:c r="AZ56" s="9" t="n">
        <x:v>9789873.03093248</x:v>
      </x:c>
      <x:c r="BA56" s="9" t="n">
        <x:v>613250.5096064275</x:v>
      </x:c>
      <x:c r="BB56" s="9" t="n">
        <x:v>1347830.8387587997</x:v>
      </x:c>
      <x:c r="BC56" s="9" t="n">
        <x:v>2109268.865469376</x:v>
      </x:c>
      <x:c r="BD56" s="9" t="n">
        <x:v>15363925.811549922</x:v>
      </x:c>
      <x:c r="BE56" s="9" t="n">
        <x:v>3342547.7414418226</x:v>
      </x:c>
      <x:c r="BF56" s="9" t="n">
        <x:v>2559748.3079070114</x:v>
      </x:c>
      <x:c r="BG56" s="9" t="n">
        <x:v>72344.3882513685</x:v>
      </x:c>
      <x:c r="BH56" s="9" t="n">
        <x:v>982741.3891716291</x:v>
      </x:c>
      <x:c r="BI56" s="9" t="n">
        <x:v>378305.8189744096</x:v>
      </x:c>
      <x:c r="BJ56" s="9" t="n">
        <x:v>58451.70800475394</x:v>
      </x:c>
      <x:c r="BK56" s="9" t="n">
        <x:v>113061.70514859878</x:v>
      </x:c>
      <x:c r="BL56" s="9" t="n">
        <x:v>518213.09263275884</x:v>
      </x:c>
      <x:c r="BM56" s="9" t="n">
        <x:v>0</x:v>
      </x:c>
      <x:c r="BN56" s="9" t="n">
        <x:v>0</x:v>
      </x:c>
      <x:c r="BO56" s="9" t="n">
        <x:v>0</x:v>
      </x:c>
      <x:c r="BP56" s="9" t="n">
        <x:v>0</x:v>
      </x:c>
      <x:c r="BQ56" s="9" t="n">
        <x:v>0</x:v>
      </x:c>
      <x:c r="BR56" s="9" t="n">
        <x:v>0</x:v>
      </x:c>
      <x:c r="BS56" s="9" t="n">
        <x:v>20370048.899418887</x:v>
      </x:c>
      <x:c r="BT56" s="9" t="n">
        <x:v>279567.76350567857</x:v>
      </x:c>
      <x:c r="BU56" s="9" t="n">
        <x:v>2863655.6516679926</x:v>
      </x:c>
      <x:c r="BV56" s="9" t="n">
        <x:v>8252961.573424828</x:v>
      </x:c>
      <x:c r="BW56" s="16" t="n">
        <x:f>SUM(B56:BV56)</x:f>
        <x:v>247388737.1163211</x:v>
      </x:c>
    </x:row>
    <x:row r="57" ht="22" customHeight="1">
      <x:c r="A57" s="2" t="str">
        <x:v>S51</x:v>
      </x:c>
      <x:c r="B57" s="9" t="n">
        <x:v>27564.473344025282</x:v>
      </x:c>
      <x:c r="C57" s="9" t="n">
        <x:v>1702.5905490926848</x:v>
      </x:c>
      <x:c r="D57" s="9" t="n">
        <x:v>2474.5002434017993</x:v>
      </x:c>
      <x:c r="E57" s="9" t="n">
        <x:v>1585751.7091392148</x:v>
      </x:c>
      <x:c r="F57" s="9" t="n">
        <x:v>2479510.1817189655</x:v>
      </x:c>
      <x:c r="G57" s="9" t="n">
        <x:v>711993.8539664672</x:v>
      </x:c>
      <x:c r="H57" s="9" t="n">
        <x:v>50377.06555572877</x:v>
      </x:c>
      <x:c r="I57" s="9" t="n">
        <x:v>378004.4062575735</x:v>
      </x:c>
      <x:c r="J57" s="9" t="n">
        <x:v>23649.30434953781</x:v>
      </x:c>
      <x:c r="K57" s="9" t="n">
        <x:v>314420.3455951357</x:v>
      </x:c>
      <x:c r="L57" s="9" t="n">
        <x:v>526786.5483832145</x:v>
      </x:c>
      <x:c r="M57" s="9" t="n">
        <x:v>218079.13885462968</x:v>
      </x:c>
      <x:c r="N57" s="9" t="n">
        <x:v>793934.4891854214</x:v>
      </x:c>
      <x:c r="O57" s="9" t="n">
        <x:v>2749444.0478159427</x:v>
      </x:c>
      <x:c r="P57" s="9" t="n">
        <x:v>449598.02726976026</x:v>
      </x:c>
      <x:c r="Q57" s="9" t="n">
        <x:v>794202.6841432517</x:v>
      </x:c>
      <x:c r="R57" s="9" t="n">
        <x:v>131426.58558246997</x:v>
      </x:c>
      <x:c r="S57" s="9" t="n">
        <x:v>584002.6226858689</x:v>
      </x:c>
      <x:c r="T57" s="9" t="n">
        <x:v>561680.0722208901</x:v>
      </x:c>
      <x:c r="U57" s="9" t="n">
        <x:v>1335755.8328098117</x:v>
      </x:c>
      <x:c r="V57" s="9" t="n">
        <x:v>210969.3479116359</x:v>
      </x:c>
      <x:c r="W57" s="9" t="n">
        <x:v>216082.50246791347</x:v>
      </x:c>
      <x:c r="X57" s="9" t="n">
        <x:v>139122.48292714267</x:v>
      </x:c>
      <x:c r="Y57" s="9" t="n">
        <x:v>3994854.5531314495</x:v>
      </x:c>
      <x:c r="Z57" s="9" t="n">
        <x:v>3157.9229302922554</x:v>
      </x:c>
      <x:c r="AA57" s="9" t="n">
        <x:v>1279608.600727499</x:v>
      </x:c>
      <x:c r="AB57" s="9" t="n">
        <x:v>9067929.389413306</x:v>
      </x:c>
      <x:c r="AC57" s="9" t="n">
        <x:v>554311.1701907943</x:v>
      </x:c>
      <x:c r="AD57" s="9" t="n">
        <x:v>1876481.450978118</x:v>
      </x:c>
      <x:c r="AE57" s="9" t="n">
        <x:v>2325853.249570072</x:v>
      </x:c>
      <x:c r="AF57" s="9" t="n">
        <x:v>11788219.064796723</x:v>
      </x:c>
      <x:c r="AG57" s="9" t="n">
        <x:v>313319.9484045171</x:v>
      </x:c>
      <x:c r="AH57" s="9" t="n">
        <x:v>658024.382816698</x:v>
      </x:c>
      <x:c r="AI57" s="9" t="n">
        <x:v>2706086.8179465206</x:v>
      </x:c>
      <x:c r="AJ57" s="9" t="n">
        <x:v>2071489.090101439</x:v>
      </x:c>
      <x:c r="AK57" s="9" t="n">
        <x:v>8244785.071054204</x:v>
      </x:c>
      <x:c r="AL57" s="9" t="n">
        <x:v>38999.72215627103</x:v>
      </x:c>
      <x:c r="AM57" s="9" t="n">
        <x:v>424662.20204894943</x:v>
      </x:c>
      <x:c r="AN57" s="9" t="n">
        <x:v>299048.90977409884</x:v>
      </x:c>
      <x:c r="AO57" s="9" t="n">
        <x:v>424308.33600326744</x:v>
      </x:c>
      <x:c r="AP57" s="9" t="n">
        <x:v>372722.34688535985</x:v>
      </x:c>
      <x:c r="AQ57" s="9" t="n">
        <x:v>11848.927374307688</x:v>
      </x:c>
      <x:c r="AR57" s="9" t="n">
        <x:v>71714.16449658963</x:v>
      </x:c>
      <x:c r="AS57" s="9" t="n">
        <x:v>1511820.6052545048</x:v>
      </x:c>
      <x:c r="AT57" s="9" t="n">
        <x:v>28445.771698791825</x:v>
      </x:c>
      <x:c r="AU57" s="9" t="n">
        <x:v>1412853.2790657124</x:v>
      </x:c>
      <x:c r="AV57" s="9" t="n">
        <x:v>332174.1346380721</x:v>
      </x:c>
      <x:c r="AW57" s="9" t="n">
        <x:v>35404.72662517134</x:v>
      </x:c>
      <x:c r="AX57" s="9" t="n">
        <x:v>667341.6510411998</x:v>
      </x:c>
      <x:c r="AY57" s="9" t="n">
        <x:v>94381.14752919083</x:v>
      </x:c>
      <x:c r="AZ57" s="9" t="n">
        <x:v>398301.68251338694</x:v>
      </x:c>
      <x:c r="BA57" s="9" t="n">
        <x:v>1486631.8860635504</x:v>
      </x:c>
      <x:c r="BB57" s="9" t="n">
        <x:v>684010.3091384887</x:v>
      </x:c>
      <x:c r="BC57" s="9" t="n">
        <x:v>3085671.611317496</x:v>
      </x:c>
      <x:c r="BD57" s="9" t="n">
        <x:v>542716.4093840816</x:v>
      </x:c>
      <x:c r="BE57" s="9" t="n">
        <x:v>834664.9751207945</x:v>
      </x:c>
      <x:c r="BF57" s="9" t="n">
        <x:v>4426222.195071031</x:v>
      </x:c>
      <x:c r="BG57" s="9" t="n">
        <x:v>855524.9862147687</x:v>
      </x:c>
      <x:c r="BH57" s="9" t="n">
        <x:v>96845.16287495912</x:v>
      </x:c>
      <x:c r="BI57" s="9" t="n">
        <x:v>1342725.70026371</x:v>
      </x:c>
      <x:c r="BJ57" s="9" t="n">
        <x:v>263314.5552926514</x:v>
      </x:c>
      <x:c r="BK57" s="9" t="n">
        <x:v>8777.049831411327</x:v>
      </x:c>
      <x:c r="BL57" s="9" t="n">
        <x:v>792318.7264518266</x:v>
      </x:c>
      <x:c r="BM57" s="9" t="n">
        <x:v>0</x:v>
      </x:c>
      <x:c r="BN57" s="9" t="n">
        <x:v>0</x:v>
      </x:c>
      <x:c r="BO57" s="9" t="n">
        <x:v>0</x:v>
      </x:c>
      <x:c r="BP57" s="9" t="n">
        <x:v>0</x:v>
      </x:c>
      <x:c r="BQ57" s="9" t="n">
        <x:v>0</x:v>
      </x:c>
      <x:c r="BR57" s="9" t="n">
        <x:v>0</x:v>
      </x:c>
      <x:c r="BS57" s="9" t="n">
        <x:v>950802.2439869446</x:v>
      </x:c>
      <x:c r="BT57" s="9" t="n">
        <x:v>169926002.4136885</x:v>
      </x:c>
      <x:c r="BU57" s="9" t="n">
        <x:v>379697.95771059935</x:v>
      </x:c>
      <x:c r="BV57" s="9" t="n">
        <x:v>2527877.96973076</x:v>
      </x:c>
      <x:c r="BW57" s="16" t="n">
        <x:f>SUM(B57:BV57)</x:f>
        <x:v>253498485.28428522</x:v>
      </x:c>
    </x:row>
    <x:row r="58" ht="22" customHeight="1">
      <x:c r="A58" s="2" t="str">
        <x:v>S52</x:v>
      </x:c>
      <x:c r="B58" s="9" t="n">
        <x:v>23306.07850092652</x:v>
      </x:c>
      <x:c r="C58" s="9" t="n">
        <x:v>1728.459899449333</x:v>
      </x:c>
      <x:c r="D58" s="9" t="n">
        <x:v>1380.1724606824425</x:v>
      </x:c>
      <x:c r="E58" s="9" t="n">
        <x:v>815580.3535276719</x:v>
      </x:c>
      <x:c r="F58" s="9" t="n">
        <x:v>1172595.6418873195</x:v>
      </x:c>
      <x:c r="G58" s="9" t="n">
        <x:v>2186157.626777351</x:v>
      </x:c>
      <x:c r="H58" s="9" t="n">
        <x:v>145501.43956716504</x:v>
      </x:c>
      <x:c r="I58" s="9" t="n">
        <x:v>319300.6925063378</x:v>
      </x:c>
      <x:c r="J58" s="9" t="n">
        <x:v>154300.91079537332</x:v>
      </x:c>
      <x:c r="K58" s="9" t="n">
        <x:v>72754.01944605788</x:v>
      </x:c>
      <x:c r="L58" s="9" t="n">
        <x:v>450821.30229227286</x:v>
      </x:c>
      <x:c r="M58" s="9" t="n">
        <x:v>475991.02433130867</x:v>
      </x:c>
      <x:c r="N58" s="9" t="n">
        <x:v>698205.9265593009</x:v>
      </x:c>
      <x:c r="O58" s="9" t="n">
        <x:v>1996203.6435159806</x:v>
      </x:c>
      <x:c r="P58" s="9" t="n">
        <x:v>658286.591242855</x:v>
      </x:c>
      <x:c r="Q58" s="9" t="n">
        <x:v>1180395.3537347831</x:v>
      </x:c>
      <x:c r="R58" s="9" t="n">
        <x:v>383401.3982180774</x:v>
      </x:c>
      <x:c r="S58" s="9" t="n">
        <x:v>722118.4732478416</x:v>
      </x:c>
      <x:c r="T58" s="9" t="n">
        <x:v>1421192.8401104594</x:v>
      </x:c>
      <x:c r="U58" s="9" t="n">
        <x:v>1742556.165185998</x:v>
      </x:c>
      <x:c r="V58" s="9" t="n">
        <x:v>758136.7789238357</x:v>
      </x:c>
      <x:c r="W58" s="9" t="n">
        <x:v>1052169.6759976195</x:v>
      </x:c>
      <x:c r="X58" s="9" t="n">
        <x:v>1250199.8711731855</x:v>
      </x:c>
      <x:c r="Y58" s="9" t="n">
        <x:v>582958.4099596633</x:v>
      </x:c>
      <x:c r="Z58" s="9" t="n">
        <x:v>96562.02197589741</x:v>
      </x:c>
      <x:c r="AA58" s="9" t="n">
        <x:v>543035.2815191969</x:v>
      </x:c>
      <x:c r="AB58" s="9" t="n">
        <x:v>10012766.568353869</x:v>
      </x:c>
      <x:c r="AC58" s="9" t="n">
        <x:v>1308140.0376454475</x:v>
      </x:c>
      <x:c r="AD58" s="9" t="n">
        <x:v>394780.0854676625</x:v>
      </x:c>
      <x:c r="AE58" s="9" t="n">
        <x:v>4636695.899862552</x:v>
      </x:c>
      <x:c r="AF58" s="9" t="n">
        <x:v>7889351.4597362755</x:v>
      </x:c>
      <x:c r="AG58" s="9" t="n">
        <x:v>1839636.3799619488</x:v>
      </x:c>
      <x:c r="AH58" s="9" t="n">
        <x:v>3972629.4252697127</x:v>
      </x:c>
      <x:c r="AI58" s="9" t="n">
        <x:v>2696656.72231309</x:v>
      </x:c>
      <x:c r="AJ58" s="9" t="n">
        <x:v>710515.6324890812</x:v>
      </x:c>
      <x:c r="AK58" s="9" t="n">
        <x:v>32874538.551646326</x:v>
      </x:c>
      <x:c r="AL58" s="9" t="n">
        <x:v>173603.15843120922</x:v>
      </x:c>
      <x:c r="AM58" s="9" t="n">
        <x:v>627510.8978554179</x:v>
      </x:c>
      <x:c r="AN58" s="9" t="n">
        <x:v>519389.5765145546</x:v>
      </x:c>
      <x:c r="AO58" s="9" t="n">
        <x:v>1197470.3550987209</x:v>
      </x:c>
      <x:c r="AP58" s="9" t="n">
        <x:v>83020.00922349887</x:v>
      </x:c>
      <x:c r="AQ58" s="9" t="n">
        <x:v>17890.758783967147</x:v>
      </x:c>
      <x:c r="AR58" s="9" t="n">
        <x:v>9809.043909545937</x:v>
      </x:c>
      <x:c r="AS58" s="9" t="n">
        <x:v>2113924.544394093</x:v>
      </x:c>
      <x:c r="AT58" s="9" t="n">
        <x:v>10731.987412792052</x:v>
      </x:c>
      <x:c r="AU58" s="9" t="n">
        <x:v>2535324.4183456628</x:v>
      </x:c>
      <x:c r="AV58" s="9" t="n">
        <x:v>1114916.7883310667</x:v>
      </x:c>
      <x:c r="AW58" s="9" t="n">
        <x:v>52989.9443852284</x:v>
      </x:c>
      <x:c r="AX58" s="9" t="n">
        <x:v>1344641.3930590001</x:v>
      </x:c>
      <x:c r="AY58" s="9" t="n">
        <x:v>553910.912721601</x:v>
      </x:c>
      <x:c r="AZ58" s="9" t="n">
        <x:v>919803.8777288082</x:v>
      </x:c>
      <x:c r="BA58" s="9" t="n">
        <x:v>58476.34686637771</x:v>
      </x:c>
      <x:c r="BB58" s="9" t="n">
        <x:v>60315772.480059355</x:v>
      </x:c>
      <x:c r="BC58" s="9" t="n">
        <x:v>2253030.0170211764</x:v>
      </x:c>
      <x:c r="BD58" s="9" t="n">
        <x:v>491836.6286191203</x:v>
      </x:c>
      <x:c r="BE58" s="9" t="n">
        <x:v>340573.8115389927</x:v>
      </x:c>
      <x:c r="BF58" s="9" t="n">
        <x:v>92637.41557429364</x:v>
      </x:c>
      <x:c r="BG58" s="9" t="n">
        <x:v>136781.15866171994</x:v>
      </x:c>
      <x:c r="BH58" s="9" t="n">
        <x:v>659693.0188566498</x:v>
      </x:c>
      <x:c r="BI58" s="9" t="n">
        <x:v>1804969.1734940603</x:v>
      </x:c>
      <x:c r="BJ58" s="9" t="n">
        <x:v>127062.20683269587</x:v>
      </x:c>
      <x:c r="BK58" s="9" t="n">
        <x:v>85350.787575089</x:v>
      </x:c>
      <x:c r="BL58" s="9" t="n">
        <x:v>516139.24655969505</x:v>
      </x:c>
      <x:c r="BM58" s="9" t="n">
        <x:v>0</x:v>
      </x:c>
      <x:c r="BN58" s="9" t="n">
        <x:v>0</x:v>
      </x:c>
      <x:c r="BO58" s="9" t="n">
        <x:v>0</x:v>
      </x:c>
      <x:c r="BP58" s="9" t="n">
        <x:v>0</x:v>
      </x:c>
      <x:c r="BQ58" s="9" t="n">
        <x:v>0</x:v>
      </x:c>
      <x:c r="BR58" s="9" t="n">
        <x:v>0</x:v>
      </x:c>
      <x:c r="BS58" s="9" t="n">
        <x:v>212127607.87843084</x:v>
      </x:c>
      <x:c r="BT58" s="9" t="n">
        <x:v>77979.48629767564</x:v>
      </x:c>
      <x:c r="BU58" s="9" t="n">
        <x:v>719337.1766352599</x:v>
      </x:c>
      <x:c r="BV58" s="9" t="n">
        <x:v>12318731.047853524</x:v>
      </x:c>
      <x:c r="BW58" s="16" t="n">
        <x:f>SUM(B58:BV58)</x:f>
        <x:v>388641466.46317434</x:v>
      </x:c>
    </x:row>
    <x:row r="59" ht="22" customHeight="1">
      <x:c r="A59" s="2" t="str">
        <x:v>S53</x:v>
      </x:c>
      <x:c r="B59" s="9" t="n">
        <x:v>2310224.897624268</x:v>
      </x:c>
      <x:c r="C59" s="9" t="n">
        <x:v>120597.57222025396</x:v>
      </x:c>
      <x:c r="D59" s="9" t="n">
        <x:v>22073.45712638196</x:v>
      </x:c>
      <x:c r="E59" s="9" t="n">
        <x:v>2436572.592189577</x:v>
      </x:c>
      <x:c r="F59" s="9" t="n">
        <x:v>6932278.535099557</x:v>
      </x:c>
      <x:c r="G59" s="9" t="n">
        <x:v>6129104.700319613</x:v>
      </x:c>
      <x:c r="H59" s="9" t="n">
        <x:v>630532.891759413</x:v>
      </x:c>
      <x:c r="I59" s="9" t="n">
        <x:v>2161440.0507161836</x:v>
      </x:c>
      <x:c r="J59" s="9" t="n">
        <x:v>715629.1582136987</x:v>
      </x:c>
      <x:c r="K59" s="9" t="n">
        <x:v>507160.6287946382</x:v>
      </x:c>
      <x:c r="L59" s="9" t="n">
        <x:v>2496718.1507087434</x:v>
      </x:c>
      <x:c r="M59" s="9" t="n">
        <x:v>1532553.4104070056</x:v>
      </x:c>
      <x:c r="N59" s="9" t="n">
        <x:v>3658900.1670909426</x:v>
      </x:c>
      <x:c r="O59" s="9" t="n">
        <x:v>6395977.088016421</x:v>
      </x:c>
      <x:c r="P59" s="9" t="n">
        <x:v>3203283.8757892484</x:v>
      </x:c>
      <x:c r="Q59" s="9" t="n">
        <x:v>3546063.6078604986</x:v>
      </x:c>
      <x:c r="R59" s="9" t="n">
        <x:v>1808756.5500812533</x:v>
      </x:c>
      <x:c r="S59" s="9" t="n">
        <x:v>2164770.794999982</x:v>
      </x:c>
      <x:c r="T59" s="9" t="n">
        <x:v>3697575.534762022</x:v>
      </x:c>
      <x:c r="U59" s="9" t="n">
        <x:v>5417346.730046176</x:v>
      </x:c>
      <x:c r="V59" s="9" t="n">
        <x:v>2420073.29285101</x:v>
      </x:c>
      <x:c r="W59" s="9" t="n">
        <x:v>2274507.5257576345</x:v>
      </x:c>
      <x:c r="X59" s="9" t="n">
        <x:v>2104241.934567204</x:v>
      </x:c>
      <x:c r="Y59" s="9" t="n">
        <x:v>14058851.036522374</x:v>
      </x:c>
      <x:c r="Z59" s="9" t="n">
        <x:v>115611.9275672409</x:v>
      </x:c>
      <x:c r="AA59" s="9" t="n">
        <x:v>10919979.752847666</x:v>
      </x:c>
      <x:c r="AB59" s="9" t="n">
        <x:v>37938508.58752222</x:v>
      </x:c>
      <x:c r="AC59" s="9" t="n">
        <x:v>2712426.6839124267</x:v>
      </x:c>
      <x:c r="AD59" s="9" t="n">
        <x:v>37803523.211092725</x:v>
      </x:c>
      <x:c r="AE59" s="9" t="n">
        <x:v>31145083.137506597</x:v>
      </x:c>
      <x:c r="AF59" s="9" t="n">
        <x:v>13874804.104798594</x:v>
      </x:c>
      <x:c r="AG59" s="9" t="n">
        <x:v>3248878.591260628</x:v>
      </x:c>
      <x:c r="AH59" s="9" t="n">
        <x:v>7421681.502039782</x:v>
      </x:c>
      <x:c r="AI59" s="9" t="n">
        <x:v>14037923.359506955</x:v>
      </x:c>
      <x:c r="AJ59" s="9" t="n">
        <x:v>6363307.18550205</x:v>
      </x:c>
      <x:c r="AK59" s="9" t="n">
        <x:v>12111449.695953045</x:v>
      </x:c>
      <x:c r="AL59" s="9" t="n">
        <x:v>792684.8764888103</x:v>
      </x:c>
      <x:c r="AM59" s="9" t="n">
        <x:v>2180669.209623935</x:v>
      </x:c>
      <x:c r="AN59" s="9" t="n">
        <x:v>9948711.89069012</x:v>
      </x:c>
      <x:c r="AO59" s="9" t="n">
        <x:v>3146723.2088131746</x:v>
      </x:c>
      <x:c r="AP59" s="9" t="n">
        <x:v>13356061.896726806</x:v>
      </x:c>
      <x:c r="AQ59" s="9" t="n">
        <x:v>860708.7550763546</x:v>
      </x:c>
      <x:c r="AR59" s="9" t="n">
        <x:v>2427284.93428885</x:v>
      </x:c>
      <x:c r="AS59" s="9" t="n">
        <x:v>17386756.145141922</x:v>
      </x:c>
      <x:c r="AT59" s="9" t="n">
        <x:v>4829041.504122246</x:v>
      </x:c>
      <x:c r="AU59" s="9" t="n">
        <x:v>6796579.679318464</x:v>
      </x:c>
      <x:c r="AV59" s="9" t="n">
        <x:v>2800554.8427083157</x:v>
      </x:c>
      <x:c r="AW59" s="9" t="n">
        <x:v>108742.92852061105</x:v>
      </x:c>
      <x:c r="AX59" s="9" t="n">
        <x:v>4784446.312201586</x:v>
      </x:c>
      <x:c r="AY59" s="9" t="n">
        <x:v>1655658.9864114756</x:v>
      </x:c>
      <x:c r="AZ59" s="9" t="n">
        <x:v>2809475.6787430104</x:v>
      </x:c>
      <x:c r="BA59" s="9" t="n">
        <x:v>959174.4582662315</x:v>
      </x:c>
      <x:c r="BB59" s="9" t="n">
        <x:v>4773968.389029532</x:v>
      </x:c>
      <x:c r="BC59" s="9" t="n">
        <x:v>29339055.204478882</x:v>
      </x:c>
      <x:c r="BD59" s="9" t="n">
        <x:v>43319209.892070375</x:v>
      </x:c>
      <x:c r="BE59" s="9" t="n">
        <x:v>9470848.018224662</x:v>
      </x:c>
      <x:c r="BF59" s="9" t="n">
        <x:v>26449823.74341688</x:v>
      </x:c>
      <x:c r="BG59" s="9" t="n">
        <x:v>403537.479753826</x:v>
      </x:c>
      <x:c r="BH59" s="9" t="n">
        <x:v>4246311.625185221</x:v>
      </x:c>
      <x:c r="BI59" s="9" t="n">
        <x:v>4194828.987159527</x:v>
      </x:c>
      <x:c r="BJ59" s="9" t="n">
        <x:v>6176396.961352966</x:v>
      </x:c>
      <x:c r="BK59" s="9" t="n">
        <x:v>349155.5150726962</x:v>
      </x:c>
      <x:c r="BL59" s="9" t="n">
        <x:v>887995.770782129</x:v>
      </x:c>
      <x:c r="BM59" s="9" t="n">
        <x:v>0</x:v>
      </x:c>
      <x:c r="BN59" s="9" t="n">
        <x:v>0</x:v>
      </x:c>
      <x:c r="BO59" s="9" t="n">
        <x:v>0</x:v>
      </x:c>
      <x:c r="BP59" s="9" t="n">
        <x:v>0</x:v>
      </x:c>
      <x:c r="BQ59" s="9" t="n">
        <x:v>0</x:v>
      </x:c>
      <x:c r="BR59" s="9" t="n">
        <x:v>0</x:v>
      </x:c>
      <x:c r="BS59" s="9" t="n">
        <x:v>25144916.106332675</x:v>
      </x:c>
      <x:c r="BT59" s="9" t="n">
        <x:v>7566678.63686476</x:v>
      </x:c>
      <x:c r="BU59" s="9" t="n">
        <x:v>10305157.15512645</x:v>
      </x:c>
      <x:c r="BV59" s="9" t="n">
        <x:v>13542258.499823898</x:v>
      </x:c>
      <x:c r="BW59" s="16" t="n">
        <x:f>SUM(B59:BV59)</x:f>
        <x:v>515451829.2148503</x:v>
      </x:c>
    </x:row>
    <x:row r="60" ht="22" customHeight="1">
      <x:c r="A60" s="2" t="str">
        <x:v>S54</x:v>
      </x:c>
      <x:c r="B60" s="9" t="n">
        <x:v>2888798.5555101912</x:v>
      </x:c>
      <x:c r="C60" s="9" t="n">
        <x:v>201860.73129285476</x:v>
      </x:c>
      <x:c r="D60" s="9" t="n">
        <x:v>25472.772592256155</x:v>
      </x:c>
      <x:c r="E60" s="9" t="n">
        <x:v>2113989.431989917</x:v>
      </x:c>
      <x:c r="F60" s="9" t="n">
        <x:v>7378738.527490424</x:v>
      </x:c>
      <x:c r="G60" s="9" t="n">
        <x:v>3533948.6544030104</x:v>
      </x:c>
      <x:c r="H60" s="9" t="n">
        <x:v>376013.9775394538</x:v>
      </x:c>
      <x:c r="I60" s="9" t="n">
        <x:v>1223945.3548158659</x:v>
      </x:c>
      <x:c r="J60" s="9" t="n">
        <x:v>904511.1631236395</x:v>
      </x:c>
      <x:c r="K60" s="9" t="n">
        <x:v>473230.75606872793</x:v>
      </x:c>
      <x:c r="L60" s="9" t="n">
        <x:v>1520711.3739321497</x:v>
      </x:c>
      <x:c r="M60" s="9" t="n">
        <x:v>390264.5497156564</x:v>
      </x:c>
      <x:c r="N60" s="9" t="n">
        <x:v>2088382.4355767663</x:v>
      </x:c>
      <x:c r="O60" s="9" t="n">
        <x:v>3020718.457278561</x:v>
      </x:c>
      <x:c r="P60" s="9" t="n">
        <x:v>3074476.9573934944</x:v>
      </x:c>
      <x:c r="Q60" s="9" t="n">
        <x:v>7694654.186342297</x:v>
      </x:c>
      <x:c r="R60" s="9" t="n">
        <x:v>835476.4525042532</x:v>
      </x:c>
      <x:c r="S60" s="9" t="n">
        <x:v>1586623.1638598903</x:v>
      </x:c>
      <x:c r="T60" s="9" t="n">
        <x:v>1958469.35888255</x:v>
      </x:c>
      <x:c r="U60" s="9" t="n">
        <x:v>3750282.64695623</x:v>
      </x:c>
      <x:c r="V60" s="9" t="n">
        <x:v>3777772.481077495</x:v>
      </x:c>
      <x:c r="W60" s="9" t="n">
        <x:v>2338685.449242265</x:v>
      </x:c>
      <x:c r="X60" s="9" t="n">
        <x:v>904823.9057446497</x:v>
      </x:c>
      <x:c r="Y60" s="9" t="n">
        <x:v>13758938.506285777</x:v>
      </x:c>
      <x:c r="Z60" s="9" t="n">
        <x:v>2685012.24929481</x:v>
      </x:c>
      <x:c r="AA60" s="9" t="n">
        <x:v>1077868.0952187718</x:v>
      </x:c>
      <x:c r="AB60" s="9" t="n">
        <x:v>45606174.04593152</x:v>
      </x:c>
      <x:c r="AC60" s="9" t="n">
        <x:v>2655144.8318064963</x:v>
      </x:c>
      <x:c r="AD60" s="9" t="n">
        <x:v>40426746.68084736</x:v>
      </x:c>
      <x:c r="AE60" s="9" t="n">
        <x:v>47899042.91214611</x:v>
      </x:c>
      <x:c r="AF60" s="9" t="n">
        <x:v>10378652.711332861</x:v>
      </x:c>
      <x:c r="AG60" s="9" t="n">
        <x:v>964072.5693916639</x:v>
      </x:c>
      <x:c r="AH60" s="9" t="n">
        <x:v>3764074.817012241</x:v>
      </x:c>
      <x:c r="AI60" s="9" t="n">
        <x:v>4395206.154589602</x:v>
      </x:c>
      <x:c r="AJ60" s="9" t="n">
        <x:v>2699514.652187995</x:v>
      </x:c>
      <x:c r="AK60" s="9" t="n">
        <x:v>5954884.198651926</x:v>
      </x:c>
      <x:c r="AL60" s="9" t="n">
        <x:v>2030479.1798898824</x:v>
      </x:c>
      <x:c r="AM60" s="9" t="n">
        <x:v>1273953.4270272816</x:v>
      </x:c>
      <x:c r="AN60" s="9" t="n">
        <x:v>14318124.644690849</x:v>
      </x:c>
      <x:c r="AO60" s="9" t="n">
        <x:v>6509935.265452441</x:v>
      </x:c>
      <x:c r="AP60" s="9" t="n">
        <x:v>3368286.6858383724</x:v>
      </x:c>
      <x:c r="AQ60" s="9" t="n">
        <x:v>679107.2392116592</x:v>
      </x:c>
      <x:c r="AR60" s="9" t="n">
        <x:v>13354792.875066452</x:v>
      </x:c>
      <x:c r="AS60" s="9" t="n">
        <x:v>3504560.3849022086</x:v>
      </x:c>
      <x:c r="AT60" s="9" t="n">
        <x:v>167697.49322091462</x:v>
      </x:c>
      <x:c r="AU60" s="9" t="n">
        <x:v>3281409.139062563</x:v>
      </x:c>
      <x:c r="AV60" s="9" t="n">
        <x:v>6042342.545229049</x:v>
      </x:c>
      <x:c r="AW60" s="9" t="n">
        <x:v>126808.14590670208</x:v>
      </x:c>
      <x:c r="AX60" s="9" t="n">
        <x:v>3844575.210857116</x:v>
      </x:c>
      <x:c r="AY60" s="9" t="n">
        <x:v>1924437.9517457103</x:v>
      </x:c>
      <x:c r="AZ60" s="9" t="n">
        <x:v>1148502.9973898618</x:v>
      </x:c>
      <x:c r="BA60" s="9" t="n">
        <x:v>99484.6219557555</x:v>
      </x:c>
      <x:c r="BB60" s="9" t="n">
        <x:v>2628908.1180450707</x:v>
      </x:c>
      <x:c r="BC60" s="9" t="n">
        <x:v>3517365.282430751</x:v>
      </x:c>
      <x:c r="BD60" s="9" t="n">
        <x:v>19937406.141631648</x:v>
      </x:c>
      <x:c r="BE60" s="9" t="n">
        <x:v>4688591.8289077645</x:v>
      </x:c>
      <x:c r="BF60" s="9" t="n">
        <x:v>12512977.87336324</x:v>
      </x:c>
      <x:c r="BG60" s="9" t="n">
        <x:v>146219.67766439624</x:v>
      </x:c>
      <x:c r="BH60" s="9" t="n">
        <x:v>901700.1475919492</x:v>
      </x:c>
      <x:c r="BI60" s="9" t="n">
        <x:v>6026546.826811723</x:v>
      </x:c>
      <x:c r="BJ60" s="9" t="n">
        <x:v>2770997.738390579</x:v>
      </x:c>
      <x:c r="BK60" s="9" t="n">
        <x:v>303664.61088627746</x:v>
      </x:c>
      <x:c r="BL60" s="9" t="n">
        <x:v>174205.38761627558</x:v>
      </x:c>
      <x:c r="BM60" s="9" t="n">
        <x:v>0</x:v>
      </x:c>
      <x:c r="BN60" s="9" t="n">
        <x:v>0</x:v>
      </x:c>
      <x:c r="BO60" s="9" t="n">
        <x:v>0</x:v>
      </x:c>
      <x:c r="BP60" s="9" t="n">
        <x:v>0</x:v>
      </x:c>
      <x:c r="BQ60" s="9" t="n">
        <x:v>0</x:v>
      </x:c>
      <x:c r="BR60" s="9" t="n">
        <x:v>0</x:v>
      </x:c>
      <x:c r="BS60" s="9" t="n">
        <x:v>193051697.19094026</x:v>
      </x:c>
      <x:c r="BT60" s="9" t="n">
        <x:v>1213293832.9889858</x:v>
      </x:c>
      <x:c r="BU60" s="9" t="n">
        <x:v>23191575.640464574</x:v>
      </x:c>
      <x:c r="BV60" s="9" t="n">
        <x:v>20546385.214820556</x:v>
      </x:c>
      <x:c r="BW60" s="16" t="n">
        <x:f>SUM(B60:BV60)</x:f>
        <x:v>1799693756.2440274</x:v>
      </x:c>
    </x:row>
    <x:row r="61" ht="22" customHeight="1">
      <x:c r="A61" s="2" t="str">
        <x:v>S55</x:v>
      </x:c>
      <x:c r="B61" s="9" t="n">
        <x:v>28965.358146045164</x:v>
      </x:c>
      <x:c r="C61" s="9" t="n">
        <x:v>5005.085312280502</x:v>
      </x:c>
      <x:c r="D61" s="9" t="n">
        <x:v>614.3527790840818</x:v>
      </x:c>
      <x:c r="E61" s="9" t="n">
        <x:v>99754.70866656963</x:v>
      </x:c>
      <x:c r="F61" s="9" t="n">
        <x:v>217907.32786666387</x:v>
      </x:c>
      <x:c r="G61" s="9" t="n">
        <x:v>237666.67603352352</x:v>
      </x:c>
      <x:c r="H61" s="9" t="n">
        <x:v>30866.782425439054</x:v>
      </x:c>
      <x:c r="I61" s="9" t="n">
        <x:v>45177.36265019639</x:v>
      </x:c>
      <x:c r="J61" s="9" t="n">
        <x:v>65295.27383614357</x:v>
      </x:c>
      <x:c r="K61" s="9" t="n">
        <x:v>28057.53522057643</x:v>
      </x:c>
      <x:c r="L61" s="9" t="n">
        <x:v>100244.80597875026</x:v>
      </x:c>
      <x:c r="M61" s="9" t="n">
        <x:v>49444.206128420214</x:v>
      </x:c>
      <x:c r="N61" s="9" t="n">
        <x:v>105190.2228304975</x:v>
      </x:c>
      <x:c r="O61" s="9" t="n">
        <x:v>149931.21538200407</x:v>
      </x:c>
      <x:c r="P61" s="9" t="n">
        <x:v>68374.70723469622</x:v>
      </x:c>
      <x:c r="Q61" s="9" t="n">
        <x:v>196304.97422218995</x:v>
      </x:c>
      <x:c r="R61" s="9" t="n">
        <x:v>149534.4859300723</x:v>
      </x:c>
      <x:c r="S61" s="9" t="n">
        <x:v>187292.36658414904</x:v>
      </x:c>
      <x:c r="T61" s="9" t="n">
        <x:v>197915.75459608945</x:v>
      </x:c>
      <x:c r="U61" s="9" t="n">
        <x:v>329862.01895676606</x:v>
      </x:c>
      <x:c r="V61" s="9" t="n">
        <x:v>311155.70193834614</x:v>
      </x:c>
      <x:c r="W61" s="9" t="n">
        <x:v>133180.30810467526</x:v>
      </x:c>
      <x:c r="X61" s="9" t="n">
        <x:v>125881.98848810201</x:v>
      </x:c>
      <x:c r="Y61" s="9" t="n">
        <x:v>246368.35555190867</x:v>
      </x:c>
      <x:c r="Z61" s="9" t="n">
        <x:v>14067.876668998702</x:v>
      </x:c>
      <x:c r="AA61" s="9" t="n">
        <x:v>24785.931963463914</x:v>
      </x:c>
      <x:c r="AB61" s="9" t="n">
        <x:v>1186187.7520820291</x:v>
      </x:c>
      <x:c r="AC61" s="9" t="n">
        <x:v>181215.76078522016</x:v>
      </x:c>
      <x:c r="AD61" s="9" t="n">
        <x:v>1516469.9060419544</x:v>
      </x:c>
      <x:c r="AE61" s="9" t="n">
        <x:v>875711.2670156048</x:v>
      </x:c>
      <x:c r="AF61" s="9" t="n">
        <x:v>544180.8760616867</x:v>
      </x:c>
      <x:c r="AG61" s="9" t="n">
        <x:v>59580.47742454454</x:v>
      </x:c>
      <x:c r="AH61" s="9" t="n">
        <x:v>774584.2105350855</x:v>
      </x:c>
      <x:c r="AI61" s="9" t="n">
        <x:v>184265.53752338325</x:v>
      </x:c>
      <x:c r="AJ61" s="9" t="n">
        <x:v>368126.7386068009</x:v>
      </x:c>
      <x:c r="AK61" s="9" t="n">
        <x:v>525986.2864400127</x:v>
      </x:c>
      <x:c r="AL61" s="9" t="n">
        <x:v>206034.8732279102</x:v>
      </x:c>
      <x:c r="AM61" s="9" t="n">
        <x:v>74553.6057622348</x:v>
      </x:c>
      <x:c r="AN61" s="9" t="n">
        <x:v>100260.7651857096</x:v>
      </x:c>
      <x:c r="AO61" s="9" t="n">
        <x:v>462348.55567721697</x:v>
      </x:c>
      <x:c r="AP61" s="9" t="n">
        <x:v>1351064.6867467465</x:v>
      </x:c>
      <x:c r="AQ61" s="9" t="n">
        <x:v>20860.324403521172</x:v>
      </x:c>
      <x:c r="AR61" s="9" t="n">
        <x:v>675106.1698365606</x:v>
      </x:c>
      <x:c r="AS61" s="9" t="n">
        <x:v>237550.22609216353</x:v>
      </x:c>
      <x:c r="AT61" s="9" t="n">
        <x:v>5574.046121499009</x:v>
      </x:c>
      <x:c r="AU61" s="9" t="n">
        <x:v>404984.2274828439</x:v>
      </x:c>
      <x:c r="AV61" s="9" t="n">
        <x:v>213413.14091903195</x:v>
      </x:c>
      <x:c r="AW61" s="9" t="n">
        <x:v>139725.6885046491</x:v>
      </x:c>
      <x:c r="AX61" s="9" t="n">
        <x:v>253227.46975956368</x:v>
      </x:c>
      <x:c r="AY61" s="9" t="n">
        <x:v>93110.97103974238</x:v>
      </x:c>
      <x:c r="AZ61" s="9" t="n">
        <x:v>56237.16828966778</x:v>
      </x:c>
      <x:c r="BA61" s="9" t="n">
        <x:v>22077.438389203486</x:v>
      </x:c>
      <x:c r="BB61" s="9" t="n">
        <x:v>135875.58347225396</x:v>
      </x:c>
      <x:c r="BC61" s="9" t="n">
        <x:v>206408.02036577935</x:v>
      </x:c>
      <x:c r="BD61" s="9" t="n">
        <x:v>22686324.03095657</x:v>
      </x:c>
      <x:c r="BE61" s="9" t="n">
        <x:v>9060907.871071624</x:v>
      </x:c>
      <x:c r="BF61" s="9" t="n">
        <x:v>719634.9496387471</x:v>
      </x:c>
      <x:c r="BG61" s="9" t="n">
        <x:v>48361.142502460694</x:v>
      </x:c>
      <x:c r="BH61" s="9" t="n">
        <x:v>51579.50103930966</x:v>
      </x:c>
      <x:c r="BI61" s="9" t="n">
        <x:v>689745.8405644053</x:v>
      </x:c>
      <x:c r="BJ61" s="9" t="n">
        <x:v>82811.10384972655</x:v>
      </x:c>
      <x:c r="BK61" s="9" t="n">
        <x:v>17575.26615097069</x:v>
      </x:c>
      <x:c r="BL61" s="9" t="n">
        <x:v>37470.98086871387</x:v>
      </x:c>
      <x:c r="BM61" s="9" t="n">
        <x:v>0</x:v>
      </x:c>
      <x:c r="BN61" s="9" t="n">
        <x:v>0</x:v>
      </x:c>
      <x:c r="BO61" s="9" t="n">
        <x:v>0</x:v>
      </x:c>
      <x:c r="BP61" s="9" t="n">
        <x:v>0</x:v>
      </x:c>
      <x:c r="BQ61" s="9" t="n">
        <x:v>0</x:v>
      </x:c>
      <x:c r="BR61" s="9" t="n">
        <x:v>0</x:v>
      </x:c>
      <x:c r="BS61" s="9" t="n">
        <x:v>188546096.31875572</x:v>
      </x:c>
      <x:c r="BT61" s="9" t="n">
        <x:v>686852720.7168626</x:v>
      </x:c>
      <x:c r="BU61" s="9" t="n">
        <x:v>87386020.50887434</x:v>
      </x:c>
      <x:c r="BV61" s="9" t="n">
        <x:v>4474951.195742156</x:v>
      </x:c>
      <x:c r="BW61" s="16" t="n">
        <x:f>SUM(B61:BV61)</x:f>
        <x:v>1014677766.5841655</x:v>
      </x:c>
    </x:row>
    <x:row r="62" ht="22" customHeight="1">
      <x:c r="A62" s="2" t="str">
        <x:v>S56</x:v>
      </x:c>
      <x:c r="B62" s="9" t="n">
        <x:v>93825.75398605663</x:v>
      </x:c>
      <x:c r="C62" s="9" t="n">
        <x:v>816.3469649716053</x:v>
      </x:c>
      <x:c r="D62" s="9" t="n">
        <x:v>1009.5016158021637</x:v>
      </x:c>
      <x:c r="E62" s="9" t="n">
        <x:v>620913.159844022</x:v>
      </x:c>
      <x:c r="F62" s="9" t="n">
        <x:v>317033.7032024196</x:v>
      </x:c>
      <x:c r="G62" s="9" t="n">
        <x:v>399412.61499023566</x:v>
      </x:c>
      <x:c r="H62" s="9" t="n">
        <x:v>39781.2053292129</x:v>
      </x:c>
      <x:c r="I62" s="9" t="n">
        <x:v>58046.34492842703</x:v>
      </x:c>
      <x:c r="J62" s="9" t="n">
        <x:v>61632.44559518713</x:v>
      </x:c>
      <x:c r="K62" s="9" t="n">
        <x:v>23830.709625607305</x:v>
      </x:c>
      <x:c r="L62" s="9" t="n">
        <x:v>71862.80573301572</x:v>
      </x:c>
      <x:c r="M62" s="9" t="n">
        <x:v>112055.07690631958</x:v>
      </x:c>
      <x:c r="N62" s="9" t="n">
        <x:v>166604.9640296661</x:v>
      </x:c>
      <x:c r="O62" s="9" t="n">
        <x:v>174910.05495949337</x:v>
      </x:c>
      <x:c r="P62" s="9" t="n">
        <x:v>105876.99689799965</x:v>
      </x:c>
      <x:c r="Q62" s="9" t="n">
        <x:v>265809.0004026277</x:v>
      </x:c>
      <x:c r="R62" s="9" t="n">
        <x:v>43439.817815574555</x:v>
      </x:c>
      <x:c r="S62" s="9" t="n">
        <x:v>138706.5663640197</x:v>
      </x:c>
      <x:c r="T62" s="9" t="n">
        <x:v>218188.90425850017</x:v>
      </x:c>
      <x:c r="U62" s="9" t="n">
        <x:v>299552.03469013405</x:v>
      </x:c>
      <x:c r="V62" s="9" t="n">
        <x:v>146151.89119560103</x:v>
      </x:c>
      <x:c r="W62" s="9" t="n">
        <x:v>338990.6970389121</x:v>
      </x:c>
      <x:c r="X62" s="9" t="n">
        <x:v>305181.55299849267</x:v>
      </x:c>
      <x:c r="Y62" s="9" t="n">
        <x:v>333944.51255884767</x:v>
      </x:c>
      <x:c r="Z62" s="9" t="n">
        <x:v>22453.463384087976</x:v>
      </x:c>
      <x:c r="AA62" s="9" t="n">
        <x:v>34545.05021648691</x:v>
      </x:c>
      <x:c r="AB62" s="9" t="n">
        <x:v>2112465.907974561</x:v>
      </x:c>
      <x:c r="AC62" s="9" t="n">
        <x:v>445291.5843913783</x:v>
      </x:c>
      <x:c r="AD62" s="9" t="n">
        <x:v>261966.877484684</x:v>
      </x:c>
      <x:c r="AE62" s="9" t="n">
        <x:v>1061939.9383201366</x:v>
      </x:c>
      <x:c r="AF62" s="9" t="n">
        <x:v>889102.7665998425</x:v>
      </x:c>
      <x:c r="AG62" s="9" t="n">
        <x:v>95458.08289877862</x:v>
      </x:c>
      <x:c r="AH62" s="9" t="n">
        <x:v>250113.0700426588</x:v>
      </x:c>
      <x:c r="AI62" s="9" t="n">
        <x:v>243220.23861091115</x:v>
      </x:c>
      <x:c r="AJ62" s="9" t="n">
        <x:v>468604.06195113633</x:v>
      </x:c>
      <x:c r="AK62" s="9" t="n">
        <x:v>775301.4343274686</x:v>
      </x:c>
      <x:c r="AL62" s="9" t="n">
        <x:v>40257.714755935456</x:v>
      </x:c>
      <x:c r="AM62" s="9" t="n">
        <x:v>92093.3800764622</x:v>
      </x:c>
      <x:c r="AN62" s="9" t="n">
        <x:v>59379.548491279515</x:v>
      </x:c>
      <x:c r="AO62" s="9" t="n">
        <x:v>358242.9044293965</x:v>
      </x:c>
      <x:c r="AP62" s="9" t="n">
        <x:v>219221.51484399315</x:v>
      </x:c>
      <x:c r="AQ62" s="9" t="n">
        <x:v>70001.79522308623</x:v>
      </x:c>
      <x:c r="AR62" s="9" t="n">
        <x:v>34610.466136330084</x:v>
      </x:c>
      <x:c r="AS62" s="9" t="n">
        <x:v>713740.9909993551</x:v>
      </x:c>
      <x:c r="AT62" s="9" t="n">
        <x:v>2819.0770165189365</x:v>
      </x:c>
      <x:c r="AU62" s="9" t="n">
        <x:v>774163.2142486259</x:v>
      </x:c>
      <x:c r="AV62" s="9" t="n">
        <x:v>480686.1577743718</x:v>
      </x:c>
      <x:c r="AW62" s="9" t="n">
        <x:v>22058.61168306181</x:v>
      </x:c>
      <x:c r="AX62" s="9" t="n">
        <x:v>296920.5240078435</x:v>
      </x:c>
      <x:c r="AY62" s="9" t="n">
        <x:v>476933.11913715606</x:v>
      </x:c>
      <x:c r="AZ62" s="9" t="n">
        <x:v>157227.2861888162</x:v>
      </x:c>
      <x:c r="BA62" s="9" t="n">
        <x:v>31707.727208472133</x:v>
      </x:c>
      <x:c r="BB62" s="9" t="n">
        <x:v>1136600.628865022</x:v>
      </x:c>
      <x:c r="BC62" s="9" t="n">
        <x:v>337315.8874089325</x:v>
      </x:c>
      <x:c r="BD62" s="9" t="n">
        <x:v>167210.6952212333</x:v>
      </x:c>
      <x:c r="BE62" s="9" t="n">
        <x:v>268749.6881071599</x:v>
      </x:c>
      <x:c r="BF62" s="9" t="n">
        <x:v>19771246.73118689</x:v>
      </x:c>
      <x:c r="BG62" s="9" t="n">
        <x:v>82373.87756075097</x:v>
      </x:c>
      <x:c r="BH62" s="9" t="n">
        <x:v>134894.50720711667</x:v>
      </x:c>
      <x:c r="BI62" s="9" t="n">
        <x:v>104820.93634393386</x:v>
      </x:c>
      <x:c r="BJ62" s="9" t="n">
        <x:v>3217137.585387921</x:v>
      </x:c>
      <x:c r="BK62" s="9" t="n">
        <x:v>35023.481459415074</x:v>
      </x:c>
      <x:c r="BL62" s="9" t="n">
        <x:v>215224.18015821368</x:v>
      </x:c>
      <x:c r="BM62" s="9" t="n">
        <x:v>0</x:v>
      </x:c>
      <x:c r="BN62" s="9" t="n">
        <x:v>0</x:v>
      </x:c>
      <x:c r="BO62" s="9" t="n">
        <x:v>0</x:v>
      </x:c>
      <x:c r="BP62" s="9" t="n">
        <x:v>0</x:v>
      </x:c>
      <x:c r="BQ62" s="9" t="n">
        <x:v>0</x:v>
      </x:c>
      <x:c r="BR62" s="9" t="n">
        <x:v>0</x:v>
      </x:c>
      <x:c r="BS62" s="9" t="n">
        <x:v>149465548.62563387</x:v>
      </x:c>
      <x:c r="BT62" s="9" t="n">
        <x:v>870974159.6874897</x:v>
      </x:c>
      <x:c r="BU62" s="9" t="n">
        <x:v>2126221.359000574</x:v>
      </x:c>
      <x:c r="BV62" s="9" t="n">
        <x:v>7671737.336078735</x:v>
      </x:c>
      <x:c r="BW62" s="16" t="n">
        <x:f>SUM(B62:BV62)</x:f>
        <x:v>1070536368.3774636</x:v>
      </x:c>
    </x:row>
    <x:row r="63" ht="22" customHeight="1">
      <x:c r="A63" s="2" t="str">
        <x:v>S57</x:v>
      </x:c>
      <x:c r="B63" s="9" t="n">
        <x:v>7798.903537140801</x:v>
      </x:c>
      <x:c r="C63" s="9" t="n">
        <x:v>190.97874376289698</x:v>
      </x:c>
      <x:c r="D63" s="9" t="n">
        <x:v>140.30899793638588</x:v>
      </x:c>
      <x:c r="E63" s="9" t="n">
        <x:v>29433.200115585038</x:v>
      </x:c>
      <x:c r="F63" s="9" t="n">
        <x:v>96738.48259490546</x:v>
      </x:c>
      <x:c r="G63" s="9" t="n">
        <x:v>133416.04698009705</x:v>
      </x:c>
      <x:c r="H63" s="9" t="n">
        <x:v>6769.114759263348</x:v>
      </x:c>
      <x:c r="I63" s="9" t="n">
        <x:v>23798.35868145387</x:v>
      </x:c>
      <x:c r="J63" s="9" t="n">
        <x:v>3102.1456043888747</x:v>
      </x:c>
      <x:c r="K63" s="9" t="n">
        <x:v>14130.936797729291</x:v>
      </x:c>
      <x:c r="L63" s="9" t="n">
        <x:v>19555.08023672848</x:v>
      </x:c>
      <x:c r="M63" s="9" t="n">
        <x:v>7074.414422059878</x:v>
      </x:c>
      <x:c r="N63" s="9" t="n">
        <x:v>22057.052031062172</x:v>
      </x:c>
      <x:c r="O63" s="9" t="n">
        <x:v>28751.806368155983</x:v>
      </x:c>
      <x:c r="P63" s="9" t="n">
        <x:v>24791.528651528264</x:v>
      </x:c>
      <x:c r="Q63" s="9" t="n">
        <x:v>83895.21465556079</x:v>
      </x:c>
      <x:c r="R63" s="9" t="n">
        <x:v>14439.840113915194</x:v>
      </x:c>
      <x:c r="S63" s="9" t="n">
        <x:v>30311.653695260164</x:v>
      </x:c>
      <x:c r="T63" s="9" t="n">
        <x:v>35792.68925689179</x:v>
      </x:c>
      <x:c r="U63" s="9" t="n">
        <x:v>63311.53721494227</x:v>
      </x:c>
      <x:c r="V63" s="9" t="n">
        <x:v>18152.010945729864</x:v>
      </x:c>
      <x:c r="W63" s="9" t="n">
        <x:v>62484.51947709587</x:v>
      </x:c>
      <x:c r="X63" s="9" t="n">
        <x:v>25531.192789893186</x:v>
      </x:c>
      <x:c r="Y63" s="9" t="n">
        <x:v>62737.6614731701</x:v>
      </x:c>
      <x:c r="Z63" s="9" t="n">
        <x:v>930.0934957535469</x:v>
      </x:c>
      <x:c r="AA63" s="9" t="n">
        <x:v>13099.717269091834</x:v>
      </x:c>
      <x:c r="AB63" s="9" t="n">
        <x:v>518906.51599906426</x:v>
      </x:c>
      <x:c r="AC63" s="9" t="n">
        <x:v>252587.65289971075</x:v>
      </x:c>
      <x:c r="AD63" s="9" t="n">
        <x:v>47767.51132325336</x:v>
      </x:c>
      <x:c r="AE63" s="9" t="n">
        <x:v>253035.27215396293</x:v>
      </x:c>
      <x:c r="AF63" s="9" t="n">
        <x:v>339928.6980643687</x:v>
      </x:c>
      <x:c r="AG63" s="9" t="n">
        <x:v>55651.936674633536</x:v>
      </x:c>
      <x:c r="AH63" s="9" t="n">
        <x:v>40261.882204582536</x:v>
      </x:c>
      <x:c r="AI63" s="9" t="n">
        <x:v>63636.10893217352</x:v>
      </x:c>
      <x:c r="AJ63" s="9" t="n">
        <x:v>83158.0779412593</x:v>
      </x:c>
      <x:c r="AK63" s="9" t="n">
        <x:v>247708.90618744463</x:v>
      </x:c>
      <x:c r="AL63" s="9" t="n">
        <x:v>13662.131029477898</x:v>
      </x:c>
      <x:c r="AM63" s="9" t="n">
        <x:v>27139.557516743647</x:v>
      </x:c>
      <x:c r="AN63" s="9" t="n">
        <x:v>18772.200939656384</x:v>
      </x:c>
      <x:c r="AO63" s="9" t="n">
        <x:v>56351.67432031162</x:v>
      </x:c>
      <x:c r="AP63" s="9" t="n">
        <x:v>39129.548521093646</x:v>
      </x:c>
      <x:c r="AQ63" s="9" t="n">
        <x:v>15235.870785579165</x:v>
      </x:c>
      <x:c r="AR63" s="9" t="n">
        <x:v>9825.130787058855</x:v>
      </x:c>
      <x:c r="AS63" s="9" t="n">
        <x:v>102984.61694764416</x:v>
      </x:c>
      <x:c r="AT63" s="9" t="n">
        <x:v>1939.0603671395456</x:v>
      </x:c>
      <x:c r="AU63" s="9" t="n">
        <x:v>117304.7337146649</x:v>
      </x:c>
      <x:c r="AV63" s="9" t="n">
        <x:v>47924.165178541785</x:v>
      </x:c>
      <x:c r="AW63" s="9" t="n">
        <x:v>2530.4070350264537</x:v>
      </x:c>
      <x:c r="AX63" s="9" t="n">
        <x:v>42467.38543201053</x:v>
      </x:c>
      <x:c r="AY63" s="9" t="n">
        <x:v>48655.173376522864</x:v>
      </x:c>
      <x:c r="AZ63" s="9" t="n">
        <x:v>48028.113951162864</x:v>
      </x:c>
      <x:c r="BA63" s="9" t="n">
        <x:v>9304.754534489</x:v>
      </x:c>
      <x:c r="BB63" s="9" t="n">
        <x:v>129191.11588264415</x:v>
      </x:c>
      <x:c r="BC63" s="9" t="n">
        <x:v>86973.734710153</x:v>
      </x:c>
      <x:c r="BD63" s="9" t="n">
        <x:v>44776.26622310876</x:v>
      </x:c>
      <x:c r="BE63" s="9" t="n">
        <x:v>78909.36438228442</x:v>
      </x:c>
      <x:c r="BF63" s="9" t="n">
        <x:v>49346.81210070995</x:v>
      </x:c>
      <x:c r="BG63" s="9" t="n">
        <x:v>619376.6539881009</x:v>
      </x:c>
      <x:c r="BH63" s="9" t="n">
        <x:v>6643.420787322249</x:v>
      </x:c>
      <x:c r="BI63" s="9" t="n">
        <x:v>8868.165531142164</x:v>
      </x:c>
      <x:c r="BJ63" s="9" t="n">
        <x:v>3788.6330576326086</x:v>
      </x:c>
      <x:c r="BK63" s="9" t="n">
        <x:v>2855.4005041135233</x:v>
      </x:c>
      <x:c r="BL63" s="9" t="n">
        <x:v>49053.57949925222</x:v>
      </x:c>
      <x:c r="BM63" s="9" t="n">
        <x:v>0</x:v>
      </x:c>
      <x:c r="BN63" s="9" t="n">
        <x:v>0</x:v>
      </x:c>
      <x:c r="BO63" s="9" t="n">
        <x:v>0</x:v>
      </x:c>
      <x:c r="BP63" s="9" t="n">
        <x:v>0</x:v>
      </x:c>
      <x:c r="BQ63" s="9" t="n">
        <x:v>0</x:v>
      </x:c>
      <x:c r="BR63" s="9" t="n">
        <x:v>0</x:v>
      </x:c>
      <x:c r="BS63" s="9" t="n">
        <x:v>44296764.731413454</x:v>
      </x:c>
      <x:c r="BT63" s="9" t="n">
        <x:v>23162353.754334483</x:v>
      </x:c>
      <x:c r="BU63" s="9" t="n">
        <x:v>211640.30350801823</x:v>
      </x:c>
      <x:c r="BV63" s="9" t="n">
        <x:v>117352.4634637836</x:v>
      </x:c>
      <x:c r="BW63" s="16" t="n">
        <x:f>SUM(B63:BV63)</x:f>
        <x:v>72200225.97511287</x:v>
      </x:c>
    </x:row>
    <x:row r="64" ht="22" customHeight="1">
      <x:c r="A64" s="2" t="str">
        <x:v>S58</x:v>
      </x:c>
      <x:c r="B64" s="9" t="n">
        <x:v>10561.252818645491</x:v>
      </x:c>
      <x:c r="C64" s="9" t="n">
        <x:v>1358.1165280894515</x:v>
      </x:c>
      <x:c r="D64" s="9" t="n">
        <x:v>253.66512226193927</x:v>
      </x:c>
      <x:c r="E64" s="9" t="n">
        <x:v>25661.73981750456</x:v>
      </x:c>
      <x:c r="F64" s="9" t="n">
        <x:v>121887.81096835097</x:v>
      </x:c>
      <x:c r="G64" s="9" t="n">
        <x:v>98515.4916170357</x:v>
      </x:c>
      <x:c r="H64" s="9" t="n">
        <x:v>9941.7354717936</x:v>
      </x:c>
      <x:c r="I64" s="9" t="n">
        <x:v>20617.229643087136</x:v>
      </x:c>
      <x:c r="J64" s="9" t="n">
        <x:v>16073.207431558925</x:v>
      </x:c>
      <x:c r="K64" s="9" t="n">
        <x:v>50368.35291240142</x:v>
      </x:c>
      <x:c r="L64" s="9" t="n">
        <x:v>27315.04071869015</x:v>
      </x:c>
      <x:c r="M64" s="9" t="n">
        <x:v>12915.348033955786</x:v>
      </x:c>
      <x:c r="N64" s="9" t="n">
        <x:v>34785.30364548783</x:v>
      </x:c>
      <x:c r="O64" s="9" t="n">
        <x:v>56024.516544172344</x:v>
      </x:c>
      <x:c r="P64" s="9" t="n">
        <x:v>63358.649242610496</x:v>
      </x:c>
      <x:c r="Q64" s="9" t="n">
        <x:v>63402.106616877456</x:v>
      </x:c>
      <x:c r="R64" s="9" t="n">
        <x:v>28633.884830227074</x:v>
      </x:c>
      <x:c r="S64" s="9" t="n">
        <x:v>34999.95187078914</x:v>
      </x:c>
      <x:c r="T64" s="9" t="n">
        <x:v>55834.96314760235</x:v>
      </x:c>
      <x:c r="U64" s="9" t="n">
        <x:v>67198.78060448222</x:v>
      </x:c>
      <x:c r="V64" s="9" t="n">
        <x:v>69574.36544092937</x:v>
      </x:c>
      <x:c r="W64" s="9" t="n">
        <x:v>56684.57478938138</x:v>
      </x:c>
      <x:c r="X64" s="9" t="n">
        <x:v>126097.3808102762</x:v>
      </x:c>
      <x:c r="Y64" s="9" t="n">
        <x:v>68064.22997663345</x:v>
      </x:c>
      <x:c r="Z64" s="9" t="n">
        <x:v>4150.528071522642</x:v>
      </x:c>
      <x:c r="AA64" s="9" t="n">
        <x:v>18155.124497692614</x:v>
      </x:c>
      <x:c r="AB64" s="9" t="n">
        <x:v>1118620.72009087</x:v>
      </x:c>
      <x:c r="AC64" s="9" t="n">
        <x:v>144987.23971045733</x:v>
      </x:c>
      <x:c r="AD64" s="9" t="n">
        <x:v>573537.8230234926</x:v>
      </x:c>
      <x:c r="AE64" s="9" t="n">
        <x:v>939839.281088601</x:v>
      </x:c>
      <x:c r="AF64" s="9" t="n">
        <x:v>203665.29297119938</x:v>
      </x:c>
      <x:c r="AG64" s="9" t="n">
        <x:v>115501.25618561024</x:v>
      </x:c>
      <x:c r="AH64" s="9" t="n">
        <x:v>86124.85316084795</x:v>
      </x:c>
      <x:c r="AI64" s="9" t="n">
        <x:v>155999.48229307923</x:v>
      </x:c>
      <x:c r="AJ64" s="9" t="n">
        <x:v>139266.35633582884</x:v>
      </x:c>
      <x:c r="AK64" s="9" t="n">
        <x:v>1681308.5393864466</x:v>
      </x:c>
      <x:c r="AL64" s="9" t="n">
        <x:v>37079.189363986006</x:v>
      </x:c>
      <x:c r="AM64" s="9" t="n">
        <x:v>1464131.4696882677</x:v>
      </x:c>
      <x:c r="AN64" s="9" t="n">
        <x:v>94568.49262259253</x:v>
      </x:c>
      <x:c r="AO64" s="9" t="n">
        <x:v>687349.797548864</x:v>
      </x:c>
      <x:c r="AP64" s="9" t="n">
        <x:v>113222.94019092197</x:v>
      </x:c>
      <x:c r="AQ64" s="9" t="n">
        <x:v>18867.95014637953</x:v>
      </x:c>
      <x:c r="AR64" s="9" t="n">
        <x:v>20378.634497633575</x:v>
      </x:c>
      <x:c r="AS64" s="9" t="n">
        <x:v>328657.4593326989</x:v>
      </x:c>
      <x:c r="AT64" s="9" t="n">
        <x:v>7114.813569286432</x:v>
      </x:c>
      <x:c r="AU64" s="9" t="n">
        <x:v>1145110.7347102347</x:v>
      </x:c>
      <x:c r="AV64" s="9" t="n">
        <x:v>57197.28701485651</x:v>
      </x:c>
      <x:c r="AW64" s="9" t="n">
        <x:v>2911.4468433853735</x:v>
      </x:c>
      <x:c r="AX64" s="9" t="n">
        <x:v>2755225.1435745405</x:v>
      </x:c>
      <x:c r="AY64" s="9" t="n">
        <x:v>120727.70291032513</x:v>
      </x:c>
      <x:c r="AZ64" s="9" t="n">
        <x:v>186527.96181776776</x:v>
      </x:c>
      <x:c r="BA64" s="9" t="n">
        <x:v>21648.01979028455</x:v>
      </x:c>
      <x:c r="BB64" s="9" t="n">
        <x:v>1075129.9588389401</x:v>
      </x:c>
      <x:c r="BC64" s="9" t="n">
        <x:v>1238763.8828756246</x:v>
      </x:c>
      <x:c r="BD64" s="9" t="n">
        <x:v>166957.9626761099</x:v>
      </x:c>
      <x:c r="BE64" s="9" t="n">
        <x:v>131034.59937125864</x:v>
      </x:c>
      <x:c r="BF64" s="9" t="n">
        <x:v>352169.88275330525</x:v>
      </x:c>
      <x:c r="BG64" s="9" t="n">
        <x:v>7981.919736057696</x:v>
      </x:c>
      <x:c r="BH64" s="9" t="n">
        <x:v>26459708.803594723</x:v>
      </x:c>
      <x:c r="BI64" s="9" t="n">
        <x:v>838218.8795339613</x:v>
      </x:c>
      <x:c r="BJ64" s="9" t="n">
        <x:v>29329.147253010084</x:v>
      </x:c>
      <x:c r="BK64" s="9" t="n">
        <x:v>30760.386472686823</x:v>
      </x:c>
      <x:c r="BL64" s="9" t="n">
        <x:v>76211.1984471507</x:v>
      </x:c>
      <x:c r="BM64" s="9" t="n">
        <x:v>0</x:v>
      </x:c>
      <x:c r="BN64" s="9" t="n">
        <x:v>0</x:v>
      </x:c>
      <x:c r="BO64" s="9" t="n">
        <x:v>0</x:v>
      </x:c>
      <x:c r="BP64" s="9" t="n">
        <x:v>0</x:v>
      </x:c>
      <x:c r="BQ64" s="9" t="n">
        <x:v>0</x:v>
      </x:c>
      <x:c r="BR64" s="9" t="n">
        <x:v>0</x:v>
      </x:c>
      <x:c r="BS64" s="9" t="n">
        <x:v>312132211.2648179</x:v>
      </x:c>
      <x:c r="BT64" s="9" t="n">
        <x:v>36758472.37939069</x:v>
      </x:c>
      <x:c r="BU64" s="9" t="n">
        <x:v>1417423.4205097775</x:v>
      </x:c>
      <x:c r="BV64" s="9" t="n">
        <x:v>664920.7378748992</x:v>
      </x:c>
      <x:c r="BW64" s="16" t="n">
        <x:f>SUM(B64:BV64)</x:f>
        <x:v>394741297.66318667</x:v>
      </x:c>
    </x:row>
    <x:row r="65" ht="22" customHeight="1">
      <x:c r="A65" s="2" t="str">
        <x:v>S59</x:v>
      </x:c>
      <x:c r="B65" s="9" t="n">
        <x:v>20740.099925772432</x:v>
      </x:c>
      <x:c r="C65" s="9" t="n">
        <x:v>1129.2762078314518</x:v>
      </x:c>
      <x:c r="D65" s="9" t="n">
        <x:v>1973.259422902646</x:v>
      </x:c>
      <x:c r="E65" s="9" t="n">
        <x:v>80783.74329886721</x:v>
      </x:c>
      <x:c r="F65" s="9" t="n">
        <x:v>222959.41711192185</x:v>
      </x:c>
      <x:c r="G65" s="9" t="n">
        <x:v>244109.6740319158</x:v>
      </x:c>
      <x:c r="H65" s="9" t="n">
        <x:v>19560.770469010567</x:v>
      </x:c>
      <x:c r="I65" s="9" t="n">
        <x:v>32630.671055181407</x:v>
      </x:c>
      <x:c r="J65" s="9" t="n">
        <x:v>28775.232479440794</x:v>
      </x:c>
      <x:c r="K65" s="9" t="n">
        <x:v>276099.9333237146</x:v>
      </x:c>
      <x:c r="L65" s="9" t="n">
        <x:v>75515.96190454086</x:v>
      </x:c>
      <x:c r="M65" s="9" t="n">
        <x:v>22407.40406858061</x:v>
      </x:c>
      <x:c r="N65" s="9" t="n">
        <x:v>114437.4778829485</x:v>
      </x:c>
      <x:c r="O65" s="9" t="n">
        <x:v>113898.26339196735</x:v>
      </x:c>
      <x:c r="P65" s="9" t="n">
        <x:v>180673.18751873705</x:v>
      </x:c>
      <x:c r="Q65" s="9" t="n">
        <x:v>145079.53618849316</x:v>
      </x:c>
      <x:c r="R65" s="9" t="n">
        <x:v>30022.740809193325</x:v>
      </x:c>
      <x:c r="S65" s="9" t="n">
        <x:v>71125.87786823043</x:v>
      </x:c>
      <x:c r="T65" s="9" t="n">
        <x:v>89573.93230498591</x:v>
      </x:c>
      <x:c r="U65" s="9" t="n">
        <x:v>157656.52437434983</x:v>
      </x:c>
      <x:c r="V65" s="9" t="n">
        <x:v>223666.4866451556</x:v>
      </x:c>
      <x:c r="W65" s="9" t="n">
        <x:v>95725.17789353961</x:v>
      </x:c>
      <x:c r="X65" s="9" t="n">
        <x:v>241246.57151128427</x:v>
      </x:c>
      <x:c r="Y65" s="9" t="n">
        <x:v>225315.32008076698</x:v>
      </x:c>
      <x:c r="Z65" s="9" t="n">
        <x:v>17418.93878661848</x:v>
      </x:c>
      <x:c r="AA65" s="9" t="n">
        <x:v>42670.137907856144</x:v>
      </x:c>
      <x:c r="AB65" s="9" t="n">
        <x:v>2148337.8269001865</x:v>
      </x:c>
      <x:c r="AC65" s="9" t="n">
        <x:v>359264.0582508475</x:v>
      </x:c>
      <x:c r="AD65" s="9" t="n">
        <x:v>1476054.2495059902</x:v>
      </x:c>
      <x:c r="AE65" s="9" t="n">
        <x:v>1092530.5016452451</x:v>
      </x:c>
      <x:c r="AF65" s="9" t="n">
        <x:v>600758.6757409507</x:v>
      </x:c>
      <x:c r="AG65" s="9" t="n">
        <x:v>694222.1972769677</x:v>
      </x:c>
      <x:c r="AH65" s="9" t="n">
        <x:v>367679.2085401771</x:v>
      </x:c>
      <x:c r="AI65" s="9" t="n">
        <x:v>528585.0555297389</x:v>
      </x:c>
      <x:c r="AJ65" s="9" t="n">
        <x:v>249333.90105542424</x:v>
      </x:c>
      <x:c r="AK65" s="9" t="n">
        <x:v>1656911.1823470902</x:v>
      </x:c>
      <x:c r="AL65" s="9" t="n">
        <x:v>21072.00297330681</x:v>
      </x:c>
      <x:c r="AM65" s="9" t="n">
        <x:v>126722.25525435398</x:v>
      </x:c>
      <x:c r="AN65" s="9" t="n">
        <x:v>113283.67200259725</x:v>
      </x:c>
      <x:c r="AO65" s="9" t="n">
        <x:v>132135.8365311149</x:v>
      </x:c>
      <x:c r="AP65" s="9" t="n">
        <x:v>45935.96307685727</x:v>
      </x:c>
      <x:c r="AQ65" s="9" t="n">
        <x:v>2621.3373849117183</x:v>
      </x:c>
      <x:c r="AR65" s="9" t="n">
        <x:v>7568.342843605409</x:v>
      </x:c>
      <x:c r="AS65" s="9" t="n">
        <x:v>600288.4712102794</x:v>
      </x:c>
      <x:c r="AT65" s="9" t="n">
        <x:v>7332.361584793122</x:v>
      </x:c>
      <x:c r="AU65" s="9" t="n">
        <x:v>621094.6970605409</x:v>
      </x:c>
      <x:c r="AV65" s="9" t="n">
        <x:v>121413.72054120377</x:v>
      </x:c>
      <x:c r="AW65" s="9" t="n">
        <x:v>8905.365066895749</x:v>
      </x:c>
      <x:c r="AX65" s="9" t="n">
        <x:v>619908.7811472313</x:v>
      </x:c>
      <x:c r="AY65" s="9" t="n">
        <x:v>138668.6302372645</x:v>
      </x:c>
      <x:c r="AZ65" s="9" t="n">
        <x:v>160910.40931112957</x:v>
      </x:c>
      <x:c r="BA65" s="9" t="n">
        <x:v>57607.53614378555</x:v>
      </x:c>
      <x:c r="BB65" s="9" t="n">
        <x:v>997787.6798104503</x:v>
      </x:c>
      <x:c r="BC65" s="9" t="n">
        <x:v>378140.4196906037</x:v>
      </x:c>
      <x:c r="BD65" s="9" t="n">
        <x:v>200017.91324975045</x:v>
      </x:c>
      <x:c r="BE65" s="9" t="n">
        <x:v>225723.31752816818</x:v>
      </x:c>
      <x:c r="BF65" s="9" t="n">
        <x:v>346712.6878111253</x:v>
      </x:c>
      <x:c r="BG65" s="9" t="n">
        <x:v>24996.163199042578</x:v>
      </x:c>
      <x:c r="BH65" s="9" t="n">
        <x:v>805840.5413585916</x:v>
      </x:c>
      <x:c r="BI65" s="9" t="n">
        <x:v>3817755.2901337524</x:v>
      </x:c>
      <x:c r="BJ65" s="9" t="n">
        <x:v>36045.539838970144</x:v>
      </x:c>
      <x:c r="BK65" s="9" t="n">
        <x:v>9616.872137791808</x:v>
      </x:c>
      <x:c r="BL65" s="9" t="n">
        <x:v>120583.72158151296</x:v>
      </x:c>
      <x:c r="BM65" s="9" t="n">
        <x:v>0</x:v>
      </x:c>
      <x:c r="BN65" s="9" t="n">
        <x:v>0</x:v>
      </x:c>
      <x:c r="BO65" s="9" t="n">
        <x:v>0</x:v>
      </x:c>
      <x:c r="BP65" s="9" t="n">
        <x:v>0</x:v>
      </x:c>
      <x:c r="BQ65" s="9" t="n">
        <x:v>0</x:v>
      </x:c>
      <x:c r="BR65" s="9" t="n">
        <x:v>0</x:v>
      </x:c>
      <x:c r="BS65" s="9" t="n">
        <x:v>73543294.5689677</x:v>
      </x:c>
      <x:c r="BT65" s="9" t="n">
        <x:v>32226803.685701016</x:v>
      </x:c>
      <x:c r="BU65" s="9" t="n">
        <x:v>91209.16838506031</x:v>
      </x:c>
      <x:c r="BV65" s="9" t="n">
        <x:v>405118.27586566977</x:v>
      </x:c>
      <x:c r="BW65" s="16" t="n">
        <x:f>SUM(B65:BV65)</x:f>
        <x:v>127963987.70088549</x:v>
      </x:c>
    </x:row>
    <x:row r="66" ht="22" customHeight="1">
      <x:c r="A66" s="2" t="str">
        <x:v>S60</x:v>
      </x:c>
      <x:c r="B66" s="9" t="n">
        <x:v>1159696.367032335</x:v>
      </x:c>
      <x:c r="C66" s="9" t="n">
        <x:v>5573.6285017518785</x:v>
      </x:c>
      <x:c r="D66" s="9" t="n">
        <x:v>604.3225141831142</x:v>
      </x:c>
      <x:c r="E66" s="9" t="n">
        <x:v>11908.628281915206</x:v>
      </x:c>
      <x:c r="F66" s="9" t="n">
        <x:v>29120.1869346931</x:v>
      </x:c>
      <x:c r="G66" s="9" t="n">
        <x:v>120135.85834633918</x:v>
      </x:c>
      <x:c r="H66" s="9" t="n">
        <x:v>3483.6961223112444</x:v>
      </x:c>
      <x:c r="I66" s="9" t="n">
        <x:v>10705.441093848047</x:v>
      </x:c>
      <x:c r="J66" s="9" t="n">
        <x:v>3321.314028082537</x:v>
      </x:c>
      <x:c r="K66" s="9" t="n">
        <x:v>3185.8000771572006</x:v>
      </x:c>
      <x:c r="L66" s="9" t="n">
        <x:v>14103.510458699204</x:v>
      </x:c>
      <x:c r="M66" s="9" t="n">
        <x:v>15122.008994163456</x:v>
      </x:c>
      <x:c r="N66" s="9" t="n">
        <x:v>39364.691087625084</x:v>
      </x:c>
      <x:c r="O66" s="9" t="n">
        <x:v>25213.954763099686</x:v>
      </x:c>
      <x:c r="P66" s="9" t="n">
        <x:v>30930.431990786226</x:v>
      </x:c>
      <x:c r="Q66" s="9" t="n">
        <x:v>36525.14046390012</x:v>
      </x:c>
      <x:c r="R66" s="9" t="n">
        <x:v>6348.704180504441</x:v>
      </x:c>
      <x:c r="S66" s="9" t="n">
        <x:v>12734.860522645438</x:v>
      </x:c>
      <x:c r="T66" s="9" t="n">
        <x:v>28080.37629839856</x:v>
      </x:c>
      <x:c r="U66" s="9" t="n">
        <x:v>56369.38816076527</x:v>
      </x:c>
      <x:c r="V66" s="9" t="n">
        <x:v>27054.723362491346</x:v>
      </x:c>
      <x:c r="W66" s="9" t="n">
        <x:v>21267.835087164352</x:v>
      </x:c>
      <x:c r="X66" s="9" t="n">
        <x:v>5542.649305796704</x:v>
      </x:c>
      <x:c r="Y66" s="9" t="n">
        <x:v>42584.3393105609</x:v>
      </x:c>
      <x:c r="Z66" s="9" t="n">
        <x:v>1344.5989099281821</x:v>
      </x:c>
      <x:c r="AA66" s="9" t="n">
        <x:v>2767.6496920457607</x:v>
      </x:c>
      <x:c r="AB66" s="9" t="n">
        <x:v>345378.4132191104</x:v>
      </x:c>
      <x:c r="AC66" s="9" t="n">
        <x:v>137437.03148022</x:v>
      </x:c>
      <x:c r="AD66" s="9" t="n">
        <x:v>7373745.075551199</x:v>
      </x:c>
      <x:c r="AE66" s="9" t="n">
        <x:v>1414320.5166903574</x:v>
      </x:c>
      <x:c r="AF66" s="9" t="n">
        <x:v>58413.511923318285</x:v>
      </x:c>
      <x:c r="AG66" s="9" t="n">
        <x:v>11116.923320691832</x:v>
      </x:c>
      <x:c r="AH66" s="9" t="n">
        <x:v>125520.19413643877</x:v>
      </x:c>
      <x:c r="AI66" s="9" t="n">
        <x:v>291942.59334723157</x:v>
      </x:c>
      <x:c r="AJ66" s="9" t="n">
        <x:v>98050.2670547492</x:v>
      </x:c>
      <x:c r="AK66" s="9" t="n">
        <x:v>451949.62400270044</x:v>
      </x:c>
      <x:c r="AL66" s="9" t="n">
        <x:v>2691.0950402950434</x:v>
      </x:c>
      <x:c r="AM66" s="9" t="n">
        <x:v>15060.540332759787</x:v>
      </x:c>
      <x:c r="AN66" s="9" t="n">
        <x:v>119445.00472116099</x:v>
      </x:c>
      <x:c r="AO66" s="9" t="n">
        <x:v>21193.543854021544</x:v>
      </x:c>
      <x:c r="AP66" s="9" t="n">
        <x:v>2709590.0596841755</x:v>
      </x:c>
      <x:c r="AQ66" s="9" t="n">
        <x:v>63821.5531539537</x:v>
      </x:c>
      <x:c r="AR66" s="9" t="n">
        <x:v>1331532.7459453407</x:v>
      </x:c>
      <x:c r="AS66" s="9" t="n">
        <x:v>395605.9888244131</x:v>
      </x:c>
      <x:c r="AT66" s="9" t="n">
        <x:v>0</x:v>
      </x:c>
      <x:c r="AU66" s="9" t="n">
        <x:v>65211.16341297813</x:v>
      </x:c>
      <x:c r="AV66" s="9" t="n">
        <x:v>13237.300862795471</x:v>
      </x:c>
      <x:c r="AW66" s="9" t="n">
        <x:v>2722.979056390965</x:v>
      </x:c>
      <x:c r="AX66" s="9" t="n">
        <x:v>52946.7659049381</x:v>
      </x:c>
      <x:c r="AY66" s="9" t="n">
        <x:v>5268.018681529297</x:v>
      </x:c>
      <x:c r="AZ66" s="9" t="n">
        <x:v>10826.759433475398</x:v>
      </x:c>
      <x:c r="BA66" s="9" t="n">
        <x:v>884.2931425700772</x:v>
      </x:c>
      <x:c r="BB66" s="9" t="n">
        <x:v>50874.823554194845</x:v>
      </x:c>
      <x:c r="BC66" s="9" t="n">
        <x:v>551412.6350276028</x:v>
      </x:c>
      <x:c r="BD66" s="9" t="n">
        <x:v>668748.9229509169</x:v>
      </x:c>
      <x:c r="BE66" s="9" t="n">
        <x:v>257610.9916197703</x:v>
      </x:c>
      <x:c r="BF66" s="9" t="n">
        <x:v>412070.3468709377</x:v>
      </x:c>
      <x:c r="BG66" s="9" t="n">
        <x:v>8812.353784072742</x:v>
      </x:c>
      <x:c r="BH66" s="9" t="n">
        <x:v>59664.43143285921</x:v>
      </x:c>
      <x:c r="BI66" s="9" t="n">
        <x:v>96398.83491706404</x:v>
      </x:c>
      <x:c r="BJ66" s="9" t="n">
        <x:v>15246144.144051172</x:v>
      </x:c>
      <x:c r="BK66" s="9" t="n">
        <x:v>1232.4847710880729</x:v>
      </x:c>
      <x:c r="BL66" s="9" t="n">
        <x:v>33902.9417659904</x:v>
      </x:c>
      <x:c r="BM66" s="9" t="n">
        <x:v>0</x:v>
      </x:c>
      <x:c r="BN66" s="9" t="n">
        <x:v>0</x:v>
      </x:c>
      <x:c r="BO66" s="9" t="n">
        <x:v>0</x:v>
      </x:c>
      <x:c r="BP66" s="9" t="n">
        <x:v>0</x:v>
      </x:c>
      <x:c r="BQ66" s="9" t="n">
        <x:v>0</x:v>
      </x:c>
      <x:c r="BR66" s="9" t="n">
        <x:v>0</x:v>
      </x:c>
      <x:c r="BS66" s="9" t="n">
        <x:v>68905505.81366658</x:v>
      </x:c>
      <x:c r="BT66" s="9" t="n">
        <x:v>53384029.89416879</x:v>
      </x:c>
      <x:c r="BU66" s="9" t="n">
        <x:v>0</x:v>
      </x:c>
      <x:c r="BV66" s="9" t="n">
        <x:v>1439.0306472610876</x:v>
      </x:c>
      <x:c r="BW66" s="16" t="n">
        <x:f>SUM(B66:BV66)</x:f>
        <x:v>156508849.7175263</x:v>
      </x:c>
    </x:row>
    <x:row r="67" ht="22" customHeight="1">
      <x:c r="A67" s="2" t="str">
        <x:v>S61</x:v>
      </x:c>
      <x:c r="B67" s="9" t="n">
        <x:v>86101.3065788713</x:v>
      </x:c>
      <x:c r="C67" s="9" t="n">
        <x:v>10050.2777245627</x:v>
      </x:c>
      <x:c r="D67" s="9" t="n">
        <x:v>1754.7782194209663</x:v>
      </x:c>
      <x:c r="E67" s="9" t="n">
        <x:v>60220.28087742525</x:v>
      </x:c>
      <x:c r="F67" s="9" t="n">
        <x:v>385040.34156135283</x:v>
      </x:c>
      <x:c r="G67" s="9" t="n">
        <x:v>375972.9246477076</x:v>
      </x:c>
      <x:c r="H67" s="9" t="n">
        <x:v>36009.15089801175</x:v>
      </x:c>
      <x:c r="I67" s="9" t="n">
        <x:v>93244.89950038116</x:v>
      </x:c>
      <x:c r="J67" s="9" t="n">
        <x:v>34753.53535811027</x:v>
      </x:c>
      <x:c r="K67" s="9" t="n">
        <x:v>21988.565917195432</x:v>
      </x:c>
      <x:c r="L67" s="9" t="n">
        <x:v>70080.11594713674</x:v>
      </x:c>
      <x:c r="M67" s="9" t="n">
        <x:v>20730.153886624743</x:v>
      </x:c>
      <x:c r="N67" s="9" t="n">
        <x:v>126818.56945267545</x:v>
      </x:c>
      <x:c r="O67" s="9" t="n">
        <x:v>122259.22400372945</x:v>
      </x:c>
      <x:c r="P67" s="9" t="n">
        <x:v>123439.36687504916</x:v>
      </x:c>
      <x:c r="Q67" s="9" t="n">
        <x:v>385676.87768345256</x:v>
      </x:c>
      <x:c r="R67" s="9" t="n">
        <x:v>134954.35270588292</x:v>
      </x:c>
      <x:c r="S67" s="9" t="n">
        <x:v>1229554.2503131079</x:v>
      </x:c>
      <x:c r="T67" s="9" t="n">
        <x:v>307676.2855743041</x:v>
      </x:c>
      <x:c r="U67" s="9" t="n">
        <x:v>274642.7142198997</x:v>
      </x:c>
      <x:c r="V67" s="9" t="n">
        <x:v>94070.14231273002</x:v>
      </x:c>
      <x:c r="W67" s="9" t="n">
        <x:v>382519.0469969844</x:v>
      </x:c>
      <x:c r="X67" s="9" t="n">
        <x:v>219808.8944430236</x:v>
      </x:c>
      <x:c r="Y67" s="9" t="n">
        <x:v>87655.07744651816</x:v>
      </x:c>
      <x:c r="Z67" s="9" t="n">
        <x:v>37216.71187840821</x:v>
      </x:c>
      <x:c r="AA67" s="9" t="n">
        <x:v>24578.08697184406</x:v>
      </x:c>
      <x:c r="AB67" s="9" t="n">
        <x:v>1705544.0727836879</x:v>
      </x:c>
      <x:c r="AC67" s="9" t="n">
        <x:v>222235.4257120206</x:v>
      </x:c>
      <x:c r="AD67" s="9" t="n">
        <x:v>3397400.32178939</x:v>
      </x:c>
      <x:c r="AE67" s="9" t="n">
        <x:v>707317.0136658548</x:v>
      </x:c>
      <x:c r="AF67" s="9" t="n">
        <x:v>440068.8123282075</x:v>
      </x:c>
      <x:c r="AG67" s="9" t="n">
        <x:v>51833.77357875137</x:v>
      </x:c>
      <x:c r="AH67" s="9" t="n">
        <x:v>120652.08399792924</x:v>
      </x:c>
      <x:c r="AI67" s="9" t="n">
        <x:v>148350.32591922063</x:v>
      </x:c>
      <x:c r="AJ67" s="9" t="n">
        <x:v>95109.41553589664</x:v>
      </x:c>
      <x:c r="AK67" s="9" t="n">
        <x:v>593894.8579227048</x:v>
      </x:c>
      <x:c r="AL67" s="9" t="n">
        <x:v>26972.258300627684</x:v>
      </x:c>
      <x:c r="AM67" s="9" t="n">
        <x:v>33455.25966137391</x:v>
      </x:c>
      <x:c r="AN67" s="9" t="n">
        <x:v>104582.46907077523</x:v>
      </x:c>
      <x:c r="AO67" s="9" t="n">
        <x:v>464317.22326774074</x:v>
      </x:c>
      <x:c r="AP67" s="9" t="n">
        <x:v>41677.644994974275</x:v>
      </x:c>
      <x:c r="AQ67" s="9" t="n">
        <x:v>25233.74185879424</x:v>
      </x:c>
      <x:c r="AR67" s="9" t="n">
        <x:v>206661.03594598031</x:v>
      </x:c>
      <x:c r="AS67" s="9" t="n">
        <x:v>140712.17600941236</x:v>
      </x:c>
      <x:c r="AT67" s="9" t="n">
        <x:v>21481.476015463442</x:v>
      </x:c>
      <x:c r="AU67" s="9" t="n">
        <x:v>144730.09152562905</x:v>
      </x:c>
      <x:c r="AV67" s="9" t="n">
        <x:v>216496.78261968773</x:v>
      </x:c>
      <x:c r="AW67" s="9" t="n">
        <x:v>5476.369651233318</x:v>
      </x:c>
      <x:c r="AX67" s="9" t="n">
        <x:v>117552.52120601485</x:v>
      </x:c>
      <x:c r="AY67" s="9" t="n">
        <x:v>48611.65005792621</x:v>
      </x:c>
      <x:c r="AZ67" s="9" t="n">
        <x:v>57483.01370557324</x:v>
      </x:c>
      <x:c r="BA67" s="9" t="n">
        <x:v>17477.16608917917</x:v>
      </x:c>
      <x:c r="BB67" s="9" t="n">
        <x:v>39696.68840443113</x:v>
      </x:c>
      <x:c r="BC67" s="9" t="n">
        <x:v>125528.39514179999</x:v>
      </x:c>
      <x:c r="BD67" s="9" t="n">
        <x:v>219619.79570010898</x:v>
      </x:c>
      <x:c r="BE67" s="9" t="n">
        <x:v>181155.77384044568</x:v>
      </x:c>
      <x:c r="BF67" s="9" t="n">
        <x:v>848203.9421336476</x:v>
      </x:c>
      <x:c r="BG67" s="9" t="n">
        <x:v>15193.32410721331</x:v>
      </x:c>
      <x:c r="BH67" s="9" t="n">
        <x:v>68786.47051891357</x:v>
      </x:c>
      <x:c r="BI67" s="9" t="n">
        <x:v>77839.9812129837</x:v>
      </x:c>
      <x:c r="BJ67" s="9" t="n">
        <x:v>12833.73173966913</x:v>
      </x:c>
      <x:c r="BK67" s="9" t="n">
        <x:v>680064.3961044725</x:v>
      </x:c>
      <x:c r="BL67" s="9" t="n">
        <x:v>52265.218646965535</x:v>
      </x:c>
      <x:c r="BM67" s="9" t="n">
        <x:v>0</x:v>
      </x:c>
      <x:c r="BN67" s="9" t="n">
        <x:v>0</x:v>
      </x:c>
      <x:c r="BO67" s="9" t="n">
        <x:v>0</x:v>
      </x:c>
      <x:c r="BP67" s="9" t="n">
        <x:v>0</x:v>
      </x:c>
      <x:c r="BQ67" s="9" t="n">
        <x:v>0</x:v>
      </x:c>
      <x:c r="BR67" s="9" t="n">
        <x:v>0</x:v>
      </x:c>
      <x:c r="BS67" s="9" t="n">
        <x:v>41563826.1751783</x:v>
      </x:c>
      <x:c r="BT67" s="9" t="n">
        <x:v>67034.23014408439</x:v>
      </x:c>
      <x:c r="BU67" s="9" t="n">
        <x:v>1286845.3494295469</x:v>
      </x:c>
      <x:c r="BV67" s="9" t="n">
        <x:v>989462.8708809945</x:v>
      </x:c>
      <x:c r="BW67" s="16" t="n">
        <x:f>SUM(B67:BV67)</x:f>
        <x:v>60130499.258392036</x:v>
      </x:c>
    </x:row>
    <x:row r="68" ht="22" customHeight="1">
      <x:c r="A68" s="2" t="str">
        <x:v>S62</x:v>
      </x:c>
      <x:c r="B68" s="9" t="n">
        <x:v>134052.47119640443</x:v>
      </x:c>
      <x:c r="C68" s="9" t="n">
        <x:v>1855.5848524452383</x:v>
      </x:c>
      <x:c r="D68" s="9" t="n">
        <x:v>15412.220685366681</x:v>
      </x:c>
      <x:c r="E68" s="9" t="n">
        <x:v>657832.3229709299</x:v>
      </x:c>
      <x:c r="F68" s="9" t="n">
        <x:v>375891.6009466521</x:v>
      </x:c>
      <x:c r="G68" s="9" t="n">
        <x:v>2059059.3076410752</x:v>
      </x:c>
      <x:c r="H68" s="9" t="n">
        <x:v>31111.231840398978</x:v>
      </x:c>
      <x:c r="I68" s="9" t="n">
        <x:v>344276.47860191576</x:v>
      </x:c>
      <x:c r="J68" s="9" t="n">
        <x:v>21790.994422725915</x:v>
      </x:c>
      <x:c r="K68" s="9" t="n">
        <x:v>17506.834717995713</x:v>
      </x:c>
      <x:c r="L68" s="9" t="n">
        <x:v>61648.83022218666</x:v>
      </x:c>
      <x:c r="M68" s="9" t="n">
        <x:v>43935.09073512799</x:v>
      </x:c>
      <x:c r="N68" s="9" t="n">
        <x:v>88353.33418439327</x:v>
      </x:c>
      <x:c r="O68" s="9" t="n">
        <x:v>1329584.3395711011</x:v>
      </x:c>
      <x:c r="P68" s="9" t="n">
        <x:v>83721.24011239088</x:v>
      </x:c>
      <x:c r="Q68" s="9" t="n">
        <x:v>127937.25438174537</x:v>
      </x:c>
      <x:c r="R68" s="9" t="n">
        <x:v>37167.396330494346</x:v>
      </x:c>
      <x:c r="S68" s="9" t="n">
        <x:v>86322.95643997495</x:v>
      </x:c>
      <x:c r="T68" s="9" t="n">
        <x:v>151270.7696606089</x:v>
      </x:c>
      <x:c r="U68" s="9" t="n">
        <x:v>144087.2539329242</x:v>
      </x:c>
      <x:c r="V68" s="9" t="n">
        <x:v>49199.92908889976</x:v>
      </x:c>
      <x:c r="W68" s="9" t="n">
        <x:v>106464.67204319035</x:v>
      </x:c>
      <x:c r="X68" s="9" t="n">
        <x:v>78021.3317765072</x:v>
      </x:c>
      <x:c r="Y68" s="9" t="n">
        <x:v>101799.17292074978</x:v>
      </x:c>
      <x:c r="Z68" s="9" t="n">
        <x:v>12924.185941936723</x:v>
      </x:c>
      <x:c r="AA68" s="9" t="n">
        <x:v>21071.938789099233</x:v>
      </x:c>
      <x:c r="AB68" s="9" t="n">
        <x:v>1235207.9596476227</x:v>
      </x:c>
      <x:c r="AC68" s="9" t="n">
        <x:v>403827.2363582484</x:v>
      </x:c>
      <x:c r="AD68" s="9" t="n">
        <x:v>311123.2841396694</x:v>
      </x:c>
      <x:c r="AE68" s="9" t="n">
        <x:v>627883.3678557717</x:v>
      </x:c>
      <x:c r="AF68" s="9" t="n">
        <x:v>582283.3082143677</x:v>
      </x:c>
      <x:c r="AG68" s="9" t="n">
        <x:v>114801.22992023308</x:v>
      </x:c>
      <x:c r="AH68" s="9" t="n">
        <x:v>365113.480182691</x:v>
      </x:c>
      <x:c r="AI68" s="9" t="n">
        <x:v>466605.7546907369</x:v>
      </x:c>
      <x:c r="AJ68" s="9" t="n">
        <x:v>157605.28259162352</x:v>
      </x:c>
      <x:c r="AK68" s="9" t="n">
        <x:v>1927531.1186445693</x:v>
      </x:c>
      <x:c r="AL68" s="9" t="n">
        <x:v>14505.677484281916</x:v>
      </x:c>
      <x:c r="AM68" s="9" t="n">
        <x:v>151558.3941982069</x:v>
      </x:c>
      <x:c r="AN68" s="9" t="n">
        <x:v>35849.58603730529</x:v>
      </x:c>
      <x:c r="AO68" s="9" t="n">
        <x:v>93034.59285804111</x:v>
      </x:c>
      <x:c r="AP68" s="9" t="n">
        <x:v>41151.45043222673</x:v>
      </x:c>
      <x:c r="AQ68" s="9" t="n">
        <x:v>1680.4152974238991</x:v>
      </x:c>
      <x:c r="AR68" s="9" t="n">
        <x:v>3279.379196158545</x:v>
      </x:c>
      <x:c r="AS68" s="9" t="n">
        <x:v>369888.07146714354</x:v>
      </x:c>
      <x:c r="AT68" s="9" t="n">
        <x:v>6560.935988111309</x:v>
      </x:c>
      <x:c r="AU68" s="9" t="n">
        <x:v>131327.59859433252</x:v>
      </x:c>
      <x:c r="AV68" s="9" t="n">
        <x:v>117571.38440473146</x:v>
      </x:c>
      <x:c r="AW68" s="9" t="n">
        <x:v>3845.771987745821</x:v>
      </x:c>
      <x:c r="AX68" s="9" t="n">
        <x:v>278811.5520453658</x:v>
      </x:c>
      <x:c r="AY68" s="9" t="n">
        <x:v>129030.51531213672</x:v>
      </x:c>
      <x:c r="AZ68" s="9" t="n">
        <x:v>151199.170103081</x:v>
      </x:c>
      <x:c r="BA68" s="9" t="n">
        <x:v>13063.920440701104</x:v>
      </x:c>
      <x:c r="BB68" s="9" t="n">
        <x:v>331897.0025188177</x:v>
      </x:c>
      <x:c r="BC68" s="9" t="n">
        <x:v>245427.48049979517</x:v>
      </x:c>
      <x:c r="BD68" s="9" t="n">
        <x:v>105164.32661019062</x:v>
      </x:c>
      <x:c r="BE68" s="9" t="n">
        <x:v>57065.416707698576</x:v>
      </x:c>
      <x:c r="BF68" s="9" t="n">
        <x:v>214473.72257696415</x:v>
      </x:c>
      <x:c r="BG68" s="9" t="n">
        <x:v>34000.87198570832</x:v>
      </x:c>
      <x:c r="BH68" s="9" t="n">
        <x:v>47022.51995607165</x:v>
      </x:c>
      <x:c r="BI68" s="9" t="n">
        <x:v>113952.42512393586</x:v>
      </x:c>
      <x:c r="BJ68" s="9" t="n">
        <x:v>9596.571388531682</x:v>
      </x:c>
      <x:c r="BK68" s="9" t="n">
        <x:v>28421.529109876607</x:v>
      </x:c>
      <x:c r="BL68" s="9" t="n">
        <x:v>1862235.8223632346</x:v>
      </x:c>
      <x:c r="BM68" s="9" t="n">
        <x:v>0</x:v>
      </x:c>
      <x:c r="BN68" s="9" t="n">
        <x:v>0</x:v>
      </x:c>
      <x:c r="BO68" s="9" t="n">
        <x:v>0</x:v>
      </x:c>
      <x:c r="BP68" s="9" t="n">
        <x:v>0</x:v>
      </x:c>
      <x:c r="BQ68" s="9" t="n">
        <x:v>0</x:v>
      </x:c>
      <x:c r="BR68" s="9" t="n">
        <x:v>0</x:v>
      </x:c>
      <x:c r="BS68" s="9" t="n">
        <x:v>91350662.94316687</x:v>
      </x:c>
      <x:c r="BT68" s="9" t="n">
        <x:v>325373.11744156206</x:v>
      </x:c>
      <x:c r="BU68" s="9" t="n">
        <x:v>167277.7288003627</x:v>
      </x:c>
      <x:c r="BV68" s="9" t="n">
        <x:v>747199.8949984725</x:v>
      </x:c>
      <x:c r="BW68" s="16" t="n">
        <x:f>SUM(B68:BV68)</x:f>
        <x:v>109556410.55534786</x:v>
      </x:c>
    </x:row>
    <x:row r="69" ht="22" customHeight="1">
      <x:c r="A69" s="2" t="str">
        <x:v>S63</x:v>
      </x:c>
      <x:c r="B69" s="9" t="n">
        <x:v>0</x:v>
      </x:c>
      <x:c r="C69" s="9" t="n">
        <x:v>0</x:v>
      </x:c>
      <x:c r="D69" s="9" t="n">
        <x:v>0</x:v>
      </x:c>
      <x:c r="E69" s="9" t="n">
        <x:v>0</x:v>
      </x:c>
      <x:c r="F69" s="9" t="n">
        <x:v>0</x:v>
      </x:c>
      <x:c r="G69" s="9" t="n">
        <x:v>0</x:v>
      </x:c>
      <x:c r="H69" s="9" t="n">
        <x:v>0</x:v>
      </x:c>
      <x:c r="I69" s="9" t="n">
        <x:v>0</x:v>
      </x:c>
      <x:c r="J69" s="9" t="n">
        <x:v>0</x:v>
      </x:c>
      <x:c r="K69" s="9" t="n">
        <x:v>0</x:v>
      </x:c>
      <x:c r="L69" s="9" t="n">
        <x:v>0</x:v>
      </x:c>
      <x:c r="M69" s="9" t="n">
        <x:v>0</x:v>
      </x:c>
      <x:c r="N69" s="9" t="n">
        <x:v>0</x:v>
      </x:c>
      <x:c r="O69" s="9" t="n">
        <x:v>0</x:v>
      </x:c>
      <x:c r="P69" s="9" t="n">
        <x:v>0</x:v>
      </x:c>
      <x:c r="Q69" s="9" t="n">
        <x:v>0</x:v>
      </x:c>
      <x:c r="R69" s="9" t="n">
        <x:v>0</x:v>
      </x:c>
      <x:c r="S69" s="9" t="n">
        <x:v>0</x:v>
      </x:c>
      <x:c r="T69" s="9" t="n">
        <x:v>0</x:v>
      </x:c>
      <x:c r="U69" s="9" t="n">
        <x:v>0</x:v>
      </x:c>
      <x:c r="V69" s="9" t="n">
        <x:v>0</x:v>
      </x:c>
      <x:c r="W69" s="9" t="n">
        <x:v>0</x:v>
      </x:c>
      <x:c r="X69" s="9" t="n">
        <x:v>0</x:v>
      </x:c>
      <x:c r="Y69" s="9" t="n">
        <x:v>0</x:v>
      </x:c>
      <x:c r="Z69" s="9" t="n">
        <x:v>0</x:v>
      </x:c>
      <x:c r="AA69" s="9" t="n">
        <x:v>0</x:v>
      </x:c>
      <x:c r="AB69" s="9" t="n">
        <x:v>0</x:v>
      </x:c>
      <x:c r="AC69" s="9" t="n">
        <x:v>0</x:v>
      </x:c>
      <x:c r="AD69" s="9" t="n">
        <x:v>0</x:v>
      </x:c>
      <x:c r="AE69" s="9" t="n">
        <x:v>0</x:v>
      </x:c>
      <x:c r="AF69" s="9" t="n">
        <x:v>0</x:v>
      </x:c>
      <x:c r="AG69" s="9" t="n">
        <x:v>0</x:v>
      </x:c>
      <x:c r="AH69" s="9" t="n">
        <x:v>0</x:v>
      </x:c>
      <x:c r="AI69" s="9" t="n">
        <x:v>0</x:v>
      </x:c>
      <x:c r="AJ69" s="9" t="n">
        <x:v>0</x:v>
      </x:c>
      <x:c r="AK69" s="9" t="n">
        <x:v>0</x:v>
      </x:c>
      <x:c r="AL69" s="9" t="n">
        <x:v>0</x:v>
      </x:c>
      <x:c r="AM69" s="9" t="n">
        <x:v>0</x:v>
      </x:c>
      <x:c r="AN69" s="9" t="n">
        <x:v>0</x:v>
      </x:c>
      <x:c r="AO69" s="9" t="n">
        <x:v>0</x:v>
      </x:c>
      <x:c r="AP69" s="9" t="n">
        <x:v>0</x:v>
      </x:c>
      <x:c r="AQ69" s="9" t="n">
        <x:v>0</x:v>
      </x:c>
      <x:c r="AR69" s="9" t="n">
        <x:v>0</x:v>
      </x:c>
      <x:c r="AS69" s="9" t="n">
        <x:v>0</x:v>
      </x:c>
      <x:c r="AT69" s="9" t="n">
        <x:v>0</x:v>
      </x:c>
      <x:c r="AU69" s="9" t="n">
        <x:v>0</x:v>
      </x:c>
      <x:c r="AV69" s="9" t="n">
        <x:v>0</x:v>
      </x:c>
      <x:c r="AW69" s="9" t="n">
        <x:v>0</x:v>
      </x:c>
      <x:c r="AX69" s="9" t="n">
        <x:v>0</x:v>
      </x:c>
      <x:c r="AY69" s="9" t="n">
        <x:v>0</x:v>
      </x:c>
      <x:c r="AZ69" s="9" t="n">
        <x:v>0</x:v>
      </x:c>
      <x:c r="BA69" s="9" t="n">
        <x:v>0</x:v>
      </x:c>
      <x:c r="BB69" s="9" t="n">
        <x:v>0</x:v>
      </x:c>
      <x:c r="BC69" s="9" t="n">
        <x:v>0</x:v>
      </x:c>
      <x:c r="BD69" s="9" t="n">
        <x:v>0</x:v>
      </x:c>
      <x:c r="BE69" s="9" t="n">
        <x:v>0</x:v>
      </x:c>
      <x:c r="BF69" s="9" t="n">
        <x:v>0</x:v>
      </x:c>
      <x:c r="BG69" s="9" t="n">
        <x:v>0</x:v>
      </x:c>
      <x:c r="BH69" s="9" t="n">
        <x:v>0</x:v>
      </x:c>
      <x:c r="BI69" s="9" t="n">
        <x:v>0</x:v>
      </x:c>
      <x:c r="BJ69" s="9" t="n">
        <x:v>0</x:v>
      </x:c>
      <x:c r="BK69" s="9" t="n">
        <x:v>0</x:v>
      </x:c>
      <x:c r="BL69" s="9" t="n">
        <x:v>0</x:v>
      </x:c>
      <x:c r="BM69" s="9" t="n">
        <x:v>0</x:v>
      </x:c>
      <x:c r="BN69" s="9" t="n">
        <x:v>0</x:v>
      </x:c>
      <x:c r="BO69" s="9" t="n">
        <x:v>0</x:v>
      </x:c>
      <x:c r="BP69" s="9" t="n">
        <x:v>0</x:v>
      </x:c>
      <x:c r="BQ69" s="9" t="n">
        <x:v>0</x:v>
      </x:c>
      <x:c r="BR69" s="9" t="n">
        <x:v>0</x:v>
      </x:c>
      <x:c r="BS69" s="9" t="n">
        <x:v>15703634.439148545</x:v>
      </x:c>
      <x:c r="BT69" s="9" t="n">
        <x:v>0</x:v>
      </x:c>
      <x:c r="BU69" s="9" t="n">
        <x:v>0</x:v>
      </x:c>
      <x:c r="BV69" s="9" t="n">
        <x:v>0</x:v>
      </x:c>
      <x:c r="BW69" s="16" t="n">
        <x:f>SUM(B69:BV69)</x:f>
        <x:v>15703634.439148545</x:v>
      </x:c>
    </x:row>
    <x:row r="70" ht="22" customHeight="1">
      <x:c r="A70" s="10" t="str">
        <x:v>LAB</x:v>
      </x:c>
      <x:c r="B70" s="11" t="n">
        <x:v>76783286.51273666</x:v>
      </x:c>
      <x:c r="C70" s="11" t="n">
        <x:v>2738475.5385591937</x:v>
      </x:c>
      <x:c r="D70" s="11" t="n">
        <x:v>2319713.1527928454</x:v>
      </x:c>
      <x:c r="E70" s="11" t="n">
        <x:v>74387887.8827537</x:v>
      </x:c>
      <x:c r="F70" s="11" t="n">
        <x:v>209700699.81696078</x:v>
      </x:c>
      <x:c r="G70" s="11" t="n">
        <x:v>320074594.954161</x:v>
      </x:c>
      <x:c r="H70" s="11" t="n">
        <x:v>24857788.795012437</x:v>
      </x:c>
      <x:c r="I70" s="11" t="n">
        <x:v>40405291.14253348</x:v>
      </x:c>
      <x:c r="J70" s="11" t="n">
        <x:v>12520048.596166622</x:v>
      </x:c>
      <x:c r="K70" s="11" t="n">
        <x:v>42998016.94028165</x:v>
      </x:c>
      <x:c r="L70" s="11" t="n">
        <x:v>58076147.964517884</x:v>
      </x:c>
      <x:c r="M70" s="11" t="n">
        <x:v>30688621.79195006</x:v>
      </x:c>
      <x:c r="N70" s="11" t="n">
        <x:v>102855384.21838088</x:v>
      </x:c>
      <x:c r="O70" s="11" t="n">
        <x:v>108585349.9864039</x:v>
      </x:c>
      <x:c r="P70" s="11" t="n">
        <x:v>94602936.17115659</x:v>
      </x:c>
      <x:c r="Q70" s="11" t="n">
        <x:v>140515736.4120919</x:v>
      </x:c>
      <x:c r="R70" s="11" t="n">
        <x:v>42025294.947306</x:v>
      </x:c>
      <x:c r="S70" s="11" t="n">
        <x:v>101088798.28980002</x:v>
      </x:c>
      <x:c r="T70" s="11" t="n">
        <x:v>128239863.22919591</x:v>
      </x:c>
      <x:c r="U70" s="11" t="n">
        <x:v>125662990.22428332</x:v>
      </x:c>
      <x:c r="V70" s="11" t="n">
        <x:v>57365881.49206557</x:v>
      </x:c>
      <x:c r="W70" s="11" t="n">
        <x:v>84438344.83530447</x:v>
      </x:c>
      <x:c r="X70" s="11" t="n">
        <x:v>53967600.08986698</x:v>
      </x:c>
      <x:c r="Y70" s="11" t="n">
        <x:v>64323511.49048079</x:v>
      </x:c>
      <x:c r="Z70" s="11" t="n">
        <x:v>20939138.09475287</x:v>
      </x:c>
      <x:c r="AA70" s="11" t="n">
        <x:v>22636801.874693092</x:v>
      </x:c>
      <x:c r="AB70" s="11" t="n">
        <x:v>476762007.3956406</x:v>
      </x:c>
      <x:c r="AC70" s="11" t="n">
        <x:v>110035835.6947421</x:v>
      </x:c>
      <x:c r="AD70" s="11" t="n">
        <x:v>458861255.08125824</x:v>
      </x:c>
      <x:c r="AE70" s="11" t="n">
        <x:v>501485945.6274888</x:v>
      </x:c>
      <x:c r="AF70" s="11" t="n">
        <x:v>162920411.83729577</x:v>
      </x:c>
      <x:c r="AG70" s="11" t="n">
        <x:v>15945265.36943738</x:v>
      </x:c>
      <x:c r="AH70" s="11" t="n">
        <x:v>77488096.06628329</x:v>
      </x:c>
      <x:c r="AI70" s="11" t="n">
        <x:v>114079130.61120385</x:v>
      </x:c>
      <x:c r="AJ70" s="11" t="n">
        <x:v>30378612.308490667</x:v>
      </x:c>
      <x:c r="AK70" s="11" t="n">
        <x:v>344716401.516319</x:v>
      </x:c>
      <x:c r="AL70" s="11" t="n">
        <x:v>11566935.830237115</x:v>
      </x:c>
      <x:c r="AM70" s="11" t="n">
        <x:v>15826313.38814953</x:v>
      </x:c>
      <x:c r="AN70" s="11" t="n">
        <x:v>32750710.63560059</x:v>
      </x:c>
      <x:c r="AO70" s="11" t="n">
        <x:v>143667639.99759936</x:v>
      </x:c>
      <x:c r="AP70" s="11" t="n">
        <x:v>187862543.09952286</x:v>
      </x:c>
      <x:c r="AQ70" s="11" t="n">
        <x:v>38691751.693543784</x:v>
      </x:c>
      <x:c r="AR70" s="11" t="n">
        <x:v>19274654.552348725</x:v>
      </x:c>
      <x:c r="AS70" s="11" t="n">
        <x:v>73675126.38156818</x:v>
      </x:c>
      <x:c r="AT70" s="11" t="n">
        <x:v>0</x:v>
      </x:c>
      <x:c r="AU70" s="11" t="n">
        <x:v>99721047.70329845</x:v>
      </x:c>
      <x:c r="AV70" s="11" t="n">
        <x:v>61445976.778345376</x:v>
      </x:c>
      <x:c r="AW70" s="11" t="n">
        <x:v>14712975.763688542</x:v>
      </x:c>
      <x:c r="AX70" s="11" t="n">
        <x:v>23752455.33827237</x:v>
      </x:c>
      <x:c r="AY70" s="11" t="n">
        <x:v>16533438.777014598</x:v>
      </x:c>
      <x:c r="AZ70" s="11" t="n">
        <x:v>11201188.08487474</x:v>
      </x:c>
      <x:c r="BA70" s="11" t="n">
        <x:v>207173650.4807954</x:v>
      </x:c>
      <x:c r="BB70" s="11" t="n">
        <x:v>21807899.251245018</x:v>
      </x:c>
      <x:c r="BC70" s="11" t="n">
        <x:v>198803992.6237711</x:v>
      </x:c>
      <x:c r="BD70" s="11" t="n">
        <x:v>884793192.455424</x:v>
      </x:c>
      <x:c r="BE70" s="11" t="n">
        <x:v>632759396.7199519</x:v>
      </x:c>
      <x:c r="BF70" s="11" t="n">
        <x:v>507474345.1892324</x:v>
      </x:c>
      <x:c r="BG70" s="11" t="n">
        <x:v>26969176.936424613</x:v>
      </x:c>
      <x:c r="BH70" s="11" t="n">
        <x:v>21144733.211376026</x:v>
      </x:c>
      <x:c r="BI70" s="11" t="n">
        <x:v>39136102.1015044</x:v>
      </x:c>
      <x:c r="BJ70" s="11" t="n">
        <x:v>78812879.27120106</x:v>
      </x:c>
      <x:c r="BK70" s="11" t="n">
        <x:v>11179128.019793216</x:v>
      </x:c>
      <x:c r="BL70" s="11" t="n">
        <x:v>23603345.33267715</x:v>
      </x:c>
      <x:c r="BM70" s="11" t="n">
        <x:v>15703634.439148564</x:v>
      </x:c>
      <x:c r="BN70" s="11" t="n">
        <x:v>0</x:v>
      </x:c>
      <x:c r="BO70" s="11" t="n">
        <x:v>0</x:v>
      </x:c>
      <x:c r="BP70" s="11" t="n">
        <x:v>0</x:v>
      </x:c>
      <x:c r="BQ70" s="11" t="n">
        <x:v>0</x:v>
      </x:c>
      <x:c r="BR70" s="11" t="n">
        <x:v>0</x:v>
      </x:c>
      <x:c r="BS70" s="11" t="n">
        <x:v>0</x:v>
      </x:c>
      <x:c r="BT70" s="11" t="n">
        <x:v>0</x:v>
      </x:c>
      <x:c r="BU70" s="11" t="n">
        <x:v>0</x:v>
      </x:c>
      <x:c r="BV70" s="11" t="n">
        <x:v>0</x:v>
      </x:c>
      <x:c r="BW70" s="17" t="n">
        <x:f>SUM(B70:BV70)</x:f>
        <x:v>7755515400.008977</x:v>
      </x:c>
    </x:row>
    <x:row r="71" ht="22" customHeight="1">
      <x:c r="A71" s="10" t="str">
        <x:v>CAP</x:v>
      </x:c>
      <x:c r="B71" s="11" t="n">
        <x:v>1587013673.429386</x:v>
      </x:c>
      <x:c r="C71" s="11" t="n">
        <x:v>54954349.27578311</x:v>
      </x:c>
      <x:c r="D71" s="11" t="n">
        <x:v>47704453.78185727</x:v>
      </x:c>
      <x:c r="E71" s="11" t="n">
        <x:v>200783010.23138076</x:v>
      </x:c>
      <x:c r="F71" s="11" t="n">
        <x:v>617442002.9441845</x:v>
      </x:c>
      <x:c r="G71" s="11" t="n">
        <x:v>444710554.43499225</x:v>
      </x:c>
      <x:c r="H71" s="11" t="n">
        <x:v>66964912.631807856</x:v>
      </x:c>
      <x:c r="I71" s="11" t="n">
        <x:v>85955983.24142855</x:v>
      </x:c>
      <x:c r="J71" s="11" t="n">
        <x:v>32115907.47419755</x:v>
      </x:c>
      <x:c r="K71" s="11" t="n">
        <x:v>110547204.12386975</x:v>
      </x:c>
      <x:c r="L71" s="11" t="n">
        <x:v>211126965.49821162</x:v>
      </x:c>
      <x:c r="M71" s="11" t="n">
        <x:v>64721159.681639805</x:v>
      </x:c>
      <x:c r="N71" s="11" t="n">
        <x:v>174024553.09754723</x:v>
      </x:c>
      <x:c r="O71" s="11" t="n">
        <x:v>231346765.31449497</x:v>
      </x:c>
      <x:c r="P71" s="11" t="n">
        <x:v>239829897.4307485</x:v>
      </x:c>
      <x:c r="Q71" s="11" t="n">
        <x:v>270021095.69974583</x:v>
      </x:c>
      <x:c r="R71" s="11" t="n">
        <x:v>78529880.74143568</x:v>
      </x:c>
      <x:c r="S71" s="11" t="n">
        <x:v>182689360.38359323</x:v>
      </x:c>
      <x:c r="T71" s="11" t="n">
        <x:v>201512226.89312693</x:v>
      </x:c>
      <x:c r="U71" s="11" t="n">
        <x:v>247012385.2799469</x:v>
      </x:c>
      <x:c r="V71" s="11" t="n">
        <x:v>139196047.96775734</x:v>
      </x:c>
      <x:c r="W71" s="11" t="n">
        <x:v>179830238.2698629</x:v>
      </x:c>
      <x:c r="X71" s="11" t="n">
        <x:v>91046123.80163549</x:v>
      </x:c>
      <x:c r="Y71" s="11" t="n">
        <x:v>488209009.98305273</x:v>
      </x:c>
      <x:c r="Z71" s="11" t="n">
        <x:v>20305375.16113157</x:v>
      </x:c>
      <x:c r="AA71" s="11" t="n">
        <x:v>113414820.10511701</x:v>
      </x:c>
      <x:c r="AB71" s="11" t="n">
        <x:v>972805823.8327934</x:v>
      </x:c>
      <x:c r="AC71" s="11" t="n">
        <x:v>514994333.54290503</x:v>
      </x:c>
      <x:c r="AD71" s="11" t="n">
        <x:v>1038045979.8773044</x:v>
      </x:c>
      <x:c r="AE71" s="11" t="n">
        <x:v>1046007855.7040527</x:v>
      </x:c>
      <x:c r="AF71" s="11" t="n">
        <x:v>1483992012.873163</x:v>
      </x:c>
      <x:c r="AG71" s="11" t="n">
        <x:v>106734913.61719632</x:v>
      </x:c>
      <x:c r="AH71" s="11" t="n">
        <x:v>111796055.5900474</x:v>
      </x:c>
      <x:c r="AI71" s="11" t="n">
        <x:v>322640991.1324422</x:v>
      </x:c>
      <x:c r="AJ71" s="11" t="n">
        <x:v>28120479.990393594</x:v>
      </x:c>
      <x:c r="AK71" s="11" t="n">
        <x:v>600172118.7257341</x:v>
      </x:c>
      <x:c r="AL71" s="11" t="n">
        <x:v>19695916.229284965</x:v>
      </x:c>
      <x:c r="AM71" s="11" t="n">
        <x:v>36972819.26393598</x:v>
      </x:c>
      <x:c r="AN71" s="11" t="n">
        <x:v>77836468.20553847</x:v>
      </x:c>
      <x:c r="AO71" s="11" t="n">
        <x:v>294200701.3634411</x:v>
      </x:c>
      <x:c r="AP71" s="11" t="n">
        <x:v>385325799.1747879</x:v>
      </x:c>
      <x:c r="AQ71" s="11" t="n">
        <x:v>211426922.75438696</x:v>
      </x:c>
      <x:c r="AR71" s="11" t="n">
        <x:v>10803380.30922548</x:v>
      </x:c>
      <x:c r="AS71" s="11" t="n">
        <x:v>636775447.5104988</x:v>
      </x:c>
      <x:c r="AT71" s="11" t="n">
        <x:v>816392331.091285</x:v>
      </x:c>
      <x:c r="AU71" s="11" t="n">
        <x:v>162771631.86234722</x:v>
      </x:c>
      <x:c r="AV71" s="11" t="n">
        <x:v>102562963.35445918</x:v>
      </x:c>
      <x:c r="AW71" s="11" t="n">
        <x:v>3032354.150350766</x:v>
      </x:c>
      <x:c r="AX71" s="11" t="n">
        <x:v>34378310.77835424</x:v>
      </x:c>
      <x:c r="AY71" s="11" t="n">
        <x:v>39252069.56406868</x:v>
      </x:c>
      <x:c r="AZ71" s="11" t="n">
        <x:v>90743656.61667693</x:v>
      </x:c>
      <x:c r="BA71" s="11" t="n">
        <x:v>27430933.055273853</x:v>
      </x:c>
      <x:c r="BB71" s="11" t="n">
        <x:v>94394708.6094166</x:v>
      </x:c>
      <x:c r="BC71" s="11" t="n">
        <x:v>134688756.90187228</x:v>
      </x:c>
      <x:c r="BD71" s="11" t="n">
        <x:v>256244109.8127894</x:v>
      </x:c>
      <x:c r="BE71" s="11" t="n">
        <x:v>224692622.3485475</x:v>
      </x:c>
      <x:c r="BF71" s="11" t="n">
        <x:v>172475249.54406443</x:v>
      </x:c>
      <x:c r="BG71" s="11" t="n">
        <x:v>22162289.377150428</x:v>
      </x:c>
      <x:c r="BH71" s="11" t="n">
        <x:v>284555000.19364536</x:v>
      </x:c>
      <x:c r="BI71" s="11" t="n">
        <x:v>25176514.086414255</x:v>
      </x:c>
      <x:c r="BJ71" s="11" t="n">
        <x:v>8877119.865862407</x:v>
      </x:c>
      <x:c r="BK71" s="11" t="n">
        <x:v>24845238.673727486</x:v>
      </x:c>
      <x:c r="BL71" s="11" t="n">
        <x:v>55332970.2632763</x:v>
      </x:c>
      <x:c r="BM71" s="11" t="n">
        <x:v>0</x:v>
      </x:c>
      <x:c r="BN71" s="11" t="n">
        <x:v>0</x:v>
      </x:c>
      <x:c r="BO71" s="11" t="n">
        <x:v>0</x:v>
      </x:c>
      <x:c r="BP71" s="11" t="n">
        <x:v>0</x:v>
      </x:c>
      <x:c r="BQ71" s="11" t="n">
        <x:v>0</x:v>
      </x:c>
      <x:c r="BR71" s="11" t="n">
        <x:v>0</x:v>
      </x:c>
      <x:c r="BS71" s="11" t="n">
        <x:v>0</x:v>
      </x:c>
      <x:c r="BT71" s="11" t="n">
        <x:v>0</x:v>
      </x:c>
      <x:c r="BU71" s="11" t="n">
        <x:v>0</x:v>
      </x:c>
      <x:c r="BV71" s="11" t="n">
        <x:v>0</x:v>
      </x:c>
      <x:c r="BW71" s="17" t="n">
        <x:f>SUM(B71:BV71)</x:f>
        <x:v>16659364806.724644</x:v>
      </x:c>
    </x:row>
    <x:row r="72" ht="22" customHeight="1">
      <x:c r="A72" s="10" t="str">
        <x:v>PTAX</x:v>
      </x:c>
      <x:c r="B72" s="11" t="n">
        <x:f>'Tax_Bridge'!D6</x:f>
        <x:v>-40497646.41729643</x:v>
      </x:c>
      <x:c r="C72" s="11" t="n">
        <x:f>'Tax_Bridge'!D7</x:f>
        <x:v>43809.32864288765</x:v>
      </x:c>
      <x:c r="D72" s="11" t="n">
        <x:f>'Tax_Bridge'!D8</x:f>
        <x:v>43031.773478470175</x:v>
      </x:c>
      <x:c r="E72" s="11" t="n">
        <x:f>'Tax_Bridge'!D9</x:f>
        <x:v>-7361776.349188306</x:v>
      </x:c>
      <x:c r="F72" s="11" t="n">
        <x:f>'Tax_Bridge'!D10</x:f>
        <x:v>-27938700.06509559</x:v>
      </x:c>
      <x:c r="G72" s="11" t="n">
        <x:f>'Tax_Bridge'!D11</x:f>
        <x:v>-26638724.728768833</x:v>
      </x:c>
      <x:c r="H72" s="11" t="n">
        <x:f>'Tax_Bridge'!D12</x:f>
        <x:v>-2261101.6056372444</x:v>
      </x:c>
      <x:c r="I72" s="11" t="n">
        <x:f>'Tax_Bridge'!D13</x:f>
        <x:v>-3752966.960414423</x:v>
      </x:c>
      <x:c r="J72" s="11" t="n">
        <x:f>'Tax_Bridge'!D14</x:f>
        <x:v>-1718291.4923099608</x:v>
      </x:c>
      <x:c r="K72" s="11" t="n">
        <x:f>'Tax_Bridge'!D15</x:f>
        <x:v>-10353513.59669094</x:v>
      </x:c>
      <x:c r="L72" s="11" t="n">
        <x:f>'Tax_Bridge'!D16</x:f>
        <x:v>-8568679.056335444</x:v>
      </x:c>
      <x:c r="M72" s="11" t="n">
        <x:f>'Tax_Bridge'!D17</x:f>
        <x:v>-1753834.7403801018</x:v>
      </x:c>
      <x:c r="N72" s="11" t="n">
        <x:f>'Tax_Bridge'!D18</x:f>
        <x:v>-9273071.159087677</x:v>
      </x:c>
      <x:c r="O72" s="11" t="n">
        <x:f>'Tax_Bridge'!D19</x:f>
        <x:v>-9311397.553996531</x:v>
      </x:c>
      <x:c r="P72" s="11" t="n">
        <x:f>'Tax_Bridge'!D20</x:f>
        <x:v>-21409319.06808137</x:v>
      </x:c>
      <x:c r="Q72" s="11" t="n">
        <x:f>'Tax_Bridge'!D21</x:f>
        <x:v>-9639454.813398307</x:v>
      </x:c>
      <x:c r="R72" s="11" t="n">
        <x:f>'Tax_Bridge'!D22</x:f>
        <x:v>-2047539.9700179663</x:v>
      </x:c>
      <x:c r="S72" s="11" t="n">
        <x:f>'Tax_Bridge'!D23</x:f>
        <x:v>-9001793.787840633</x:v>
      </x:c>
      <x:c r="T72" s="11" t="n">
        <x:f>'Tax_Bridge'!D24</x:f>
        <x:v>-7563332.306271806</x:v>
      </x:c>
      <x:c r="U72" s="11" t="n">
        <x:f>'Tax_Bridge'!D25</x:f>
        <x:v>-13504654.255757567</x:v>
      </x:c>
      <x:c r="V72" s="11" t="n">
        <x:f>'Tax_Bridge'!D26</x:f>
        <x:v>-1468215.374654266</x:v>
      </x:c>
      <x:c r="W72" s="11" t="n">
        <x:f>'Tax_Bridge'!D27</x:f>
        <x:v>-5581316.216307546</x:v>
      </x:c>
      <x:c r="X72" s="11" t="n">
        <x:f>'Tax_Bridge'!D28</x:f>
        <x:v>-1163064.2600433498</x:v>
      </x:c>
      <x:c r="Y72" s="11" t="n">
        <x:f>'Tax_Bridge'!D29</x:f>
        <x:v>-93626072.76997243</x:v>
      </x:c>
      <x:c r="Z72" s="11" t="n">
        <x:f>'Tax_Bridge'!D30</x:f>
        <x:v>102312.29528385255</x:v>
      </x:c>
      <x:c r="AA72" s="11" t="n">
        <x:f>'Tax_Bridge'!D31</x:f>
        <x:v>273854.9995543553</x:v>
      </x:c>
      <x:c r="AB72" s="11" t="n">
        <x:f>'Tax_Bridge'!D32</x:f>
        <x:v>9674349.777801447</x:v>
      </x:c>
      <x:c r="AC72" s="11" t="n">
        <x:f>'Tax_Bridge'!D33</x:f>
        <x:v>1370610.2875870487</x:v>
      </x:c>
      <x:c r="AD72" s="11" t="n">
        <x:f>'Tax_Bridge'!D34</x:f>
        <x:v>4658252.368960645</x:v>
      </x:c>
      <x:c r="AE72" s="11" t="n">
        <x:f>'Tax_Bridge'!D35</x:f>
        <x:v>4950878.935821771</x:v>
      </x:c>
      <x:c r="AF72" s="11" t="n">
        <x:f>'Tax_Bridge'!D36</x:f>
        <x:v>-92409189.80423594</x:v>
      </x:c>
      <x:c r="AG72" s="11" t="n">
        <x:f>'Tax_Bridge'!D37</x:f>
        <x:v>1484319.4224456768</x:v>
      </x:c>
      <x:c r="AH72" s="11" t="n">
        <x:f>'Tax_Bridge'!D38</x:f>
        <x:v>722063.2569802848</x:v>
      </x:c>
      <x:c r="AI72" s="11" t="n">
        <x:f>'Tax_Bridge'!D39</x:f>
        <x:v>93905.32239825721</x:v>
      </x:c>
      <x:c r="AJ72" s="11" t="n">
        <x:f>'Tax_Bridge'!D40</x:f>
        <x:v>186701.50256718445</x:v>
      </x:c>
      <x:c r="AK72" s="11" t="n">
        <x:f>'Tax_Bridge'!D41</x:f>
        <x:v>2241058.1884923405</x:v>
      </x:c>
      <x:c r="AL72" s="11" t="n">
        <x:f>'Tax_Bridge'!D42</x:f>
        <x:v>110102.91835861914</x:v>
      </x:c>
      <x:c r="AM72" s="11" t="n">
        <x:f>'Tax_Bridge'!D43</x:f>
        <x:v>450712.27187327424</x:v>
      </x:c>
      <x:c r="AN72" s="11" t="n">
        <x:f>'Tax_Bridge'!D44</x:f>
        <x:v>5151657.359221421</x:v>
      </x:c>
      <x:c r="AO72" s="11" t="n">
        <x:f>'Tax_Bridge'!D45</x:f>
        <x:v>250202.76924983368</x:v>
      </x:c>
      <x:c r="AP72" s="11" t="n">
        <x:f>'Tax_Bridge'!D46</x:f>
        <x:v>-4588206.664685957</x:v>
      </x:c>
      <x:c r="AQ72" s="11" t="n">
        <x:f>'Tax_Bridge'!D47</x:f>
        <x:v>4376960.145511157</x:v>
      </x:c>
      <x:c r="AR72" s="11" t="n">
        <x:f>'Tax_Bridge'!D48</x:f>
        <x:v>25730947.965705507</x:v>
      </x:c>
      <x:c r="AS72" s="11" t="n">
        <x:f>'Tax_Bridge'!D49</x:f>
        <x:v>557621.111890134</x:v>
      </x:c>
      <x:c r="AT72" s="11" t="n">
        <x:f>'Tax_Bridge'!D50</x:f>
        <x:v>13571769.846601957</x:v>
      </x:c>
      <x:c r="AU72" s="11" t="n">
        <x:f>'Tax_Bridge'!D51</x:f>
        <x:v>870148.5541348088</x:v>
      </x:c>
      <x:c r="AV72" s="11" t="n">
        <x:f>'Tax_Bridge'!D52</x:f>
        <x:v>6075457.751566874</x:v>
      </x:c>
      <x:c r="AW72" s="11" t="n">
        <x:f>'Tax_Bridge'!D53</x:f>
        <x:v>16328.140904319207</x:v>
      </x:c>
      <x:c r="AX72" s="11" t="n">
        <x:f>'Tax_Bridge'!D54</x:f>
        <x:v>282008.60677591915</x:v>
      </x:c>
      <x:c r="AY72" s="11" t="n">
        <x:f>'Tax_Bridge'!D55</x:f>
        <x:v>112359.71577818747</x:v>
      </x:c>
      <x:c r="AZ72" s="11" t="n">
        <x:f>'Tax_Bridge'!D56</x:f>
        <x:v>689434.9867826661</x:v>
      </x:c>
      <x:c r="BA72" s="11" t="n">
        <x:f>'Tax_Bridge'!D57</x:f>
        <x:v>34948.09647111315</x:v>
      </x:c>
      <x:c r="BB72" s="11" t="n">
        <x:f>'Tax_Bridge'!D58</x:f>
        <x:v>408527.891291094</x:v>
      </x:c>
      <x:c r="BC72" s="11" t="n">
        <x:f>'Tax_Bridge'!D59</x:f>
        <x:v>954054.5132594242</x:v>
      </x:c>
      <x:c r="BD72" s="11" t="n">
        <x:f>'Tax_Bridge'!D60</x:f>
        <x:v>2383913.840730504</x:v>
      </x:c>
      <x:c r="BE72" s="11" t="n">
        <x:f>'Tax_Bridge'!D61</x:f>
        <x:v>304712.7614207856</x:v>
      </x:c>
      <x:c r="BF72" s="11" t="n">
        <x:f>'Tax_Bridge'!D62</x:f>
        <x:v>1248965.7498833332</x:v>
      </x:c>
      <x:c r="BG72" s="11" t="n">
        <x:f>'Tax_Bridge'!D63</x:f>
        <x:v>28405.531660903776</x:v>
      </x:c>
      <x:c r="BH72" s="11" t="n">
        <x:f>'Tax_Bridge'!D64</x:f>
        <x:v>49382.326303047</x:v>
      </x:c>
      <x:c r="BI72" s="11" t="n">
        <x:f>'Tax_Bridge'!D65</x:f>
        <x:v>117147.22265729803</x:v>
      </x:c>
      <x:c r="BJ72" s="11" t="n">
        <x:f>'Tax_Bridge'!D66</x:f>
        <x:v>183596.2604724618</x:v>
      </x:c>
      <x:c r="BK72" s="11" t="n">
        <x:f>'Tax_Bridge'!D67</x:f>
        <x:v>168318.55186291842</x:v>
      </x:c>
      <x:c r="BL72" s="11" t="n">
        <x:f>'Tax_Bridge'!D68</x:f>
        <x:v>406218.73557655426</x:v>
      </x:c>
      <x:c r="BM72" s="11" t="n">
        <x:f>'Tax_Bridge'!D69</x:f>
        <x:v>0</x:v>
      </x:c>
      <x:c r="BN72" s="11" t="n">
        <x:v>0</x:v>
      </x:c>
      <x:c r="BO72" s="11" t="n">
        <x:v>0</x:v>
      </x:c>
      <x:c r="BP72" s="11" t="n">
        <x:v>0</x:v>
      </x:c>
      <x:c r="BQ72" s="11" t="n">
        <x:v>0</x:v>
      </x:c>
      <x:c r="BR72" s="11" t="n">
        <x:v>0</x:v>
      </x:c>
      <x:c r="BS72" s="11" t="n">
        <x:v>0</x:v>
      </x:c>
      <x:c r="BT72" s="11" t="n">
        <x:v>0</x:v>
      </x:c>
      <x:c r="BU72" s="11" t="n">
        <x:v>0</x:v>
      </x:c>
      <x:c r="BV72" s="11" t="n">
        <x:v>0</x:v>
      </x:c>
      <x:c r="BW72" s="17" t="n">
        <x:f>SUM(B72:BV72)</x:f>
        <x:v>-321052811.9305102</x:v>
      </x:c>
    </x:row>
    <x:row r="73" ht="22" customHeight="1">
      <x:c r="A73" s="10" t="str">
        <x:v>CTAX</x:v>
      </x:c>
      <x:c r="B73" s="11" t="n">
        <x:f>'Tax_Bridge'!C6</x:f>
        <x:v>-14134006.594539572</x:v>
      </x:c>
      <x:c r="C73" s="11" t="n">
        <x:f>'Tax_Bridge'!C7</x:f>
        <x:v>144781.1421751063</x:v>
      </x:c>
      <x:c r="D73" s="11" t="n">
        <x:f>'Tax_Bridge'!C8</x:f>
        <x:v>375484.20200962346</x:v>
      </x:c>
      <x:c r="E73" s="11" t="n">
        <x:f>'Tax_Bridge'!C9</x:f>
        <x:v>6086615.936848065</x:v>
      </x:c>
      <x:c r="F73" s="11" t="n">
        <x:f>'Tax_Bridge'!C10</x:f>
        <x:v>-5218209.715159202</x:v>
      </x:c>
      <x:c r="G73" s="11" t="n">
        <x:f>'Tax_Bridge'!C11</x:f>
        <x:v>13974022.491958532</x:v>
      </x:c>
      <x:c r="H73" s="11" t="n">
        <x:f>'Tax_Bridge'!C12</x:f>
        <x:v>1961103.8831989353</x:v>
      </x:c>
      <x:c r="I73" s="11" t="n">
        <x:f>'Tax_Bridge'!C13</x:f>
        <x:v>4719029.343577891</x:v>
      </x:c>
      <x:c r="J73" s="11" t="n">
        <x:f>'Tax_Bridge'!C14</x:f>
        <x:v>1224519.86204447</x:v>
      </x:c>
      <x:c r="K73" s="11" t="n">
        <x:f>'Tax_Bridge'!C15</x:f>
        <x:v>59696501.321230225</x:v>
      </x:c>
      <x:c r="L73" s="11" t="n">
        <x:f>'Tax_Bridge'!C16</x:f>
        <x:v>11788425.711031023</x:v>
      </x:c>
      <x:c r="M73" s="11" t="n">
        <x:f>'Tax_Bridge'!C17</x:f>
        <x:v>1449736.7035133564</x:v>
      </x:c>
      <x:c r="N73" s="11" t="n">
        <x:f>'Tax_Bridge'!C18</x:f>
        <x:v>8352764.29510885</x:v>
      </x:c>
      <x:c r="O73" s="11" t="n">
        <x:f>'Tax_Bridge'!C19</x:f>
        <x:v>9412408.528266706</x:v>
      </x:c>
      <x:c r="P73" s="11" t="n">
        <x:f>'Tax_Bridge'!C20</x:f>
        <x:v>19480726.64778794</x:v>
      </x:c>
      <x:c r="Q73" s="11" t="n">
        <x:f>'Tax_Bridge'!C21</x:f>
        <x:v>10251345.240047941</x:v>
      </x:c>
      <x:c r="R73" s="11" t="n">
        <x:f>'Tax_Bridge'!C22</x:f>
        <x:v>2691994.059496276</x:v>
      </x:c>
      <x:c r="S73" s="11" t="n">
        <x:f>'Tax_Bridge'!C23</x:f>
        <x:v>11316439.75525596</x:v>
      </x:c>
      <x:c r="T73" s="11" t="n">
        <x:f>'Tax_Bridge'!C24</x:f>
        <x:v>12801871.78476721</x:v>
      </x:c>
      <x:c r="U73" s="11" t="n">
        <x:f>'Tax_Bridge'!C25</x:f>
        <x:v>15624390.410541628</x:v>
      </x:c>
      <x:c r="V73" s="11" t="n">
        <x:f>'Tax_Bridge'!C26</x:f>
        <x:v>5620924.888988438</x:v>
      </x:c>
      <x:c r="W73" s="11" t="n">
        <x:f>'Tax_Bridge'!C27</x:f>
        <x:v>5442013.957609644</x:v>
      </x:c>
      <x:c r="X73" s="11" t="n">
        <x:f>'Tax_Bridge'!C28</x:f>
        <x:v>3919814.796601823</x:v>
      </x:c>
      <x:c r="Y73" s="11" t="n">
        <x:f>'Tax_Bridge'!C29</x:f>
        <x:v>70856531.99286951</x:v>
      </x:c>
      <x:c r="Z73" s="11" t="n">
        <x:f>'Tax_Bridge'!C30</x:f>
        <x:v>834707.3792682699</x:v>
      </x:c>
      <x:c r="AA73" s="11" t="n">
        <x:f>'Tax_Bridge'!C31</x:f>
        <x:v>2361625.259655555</x:v>
      </x:c>
      <x:c r="AB73" s="11" t="n">
        <x:f>'Tax_Bridge'!C32</x:f>
        <x:v>44651318.42581016</x:v>
      </x:c>
      <x:c r="AC73" s="11" t="n">
        <x:f>'Tax_Bridge'!C33</x:f>
        <x:v>7141115.075831615</x:v>
      </x:c>
      <x:c r="AD73" s="11" t="n">
        <x:f>'Tax_Bridge'!C34</x:f>
        <x:v>20893376.442648366</x:v>
      </x:c>
      <x:c r="AE73" s="11" t="n">
        <x:f>'Tax_Bridge'!C35</x:f>
        <x:v>11309659.690284194</x:v>
      </x:c>
      <x:c r="AF73" s="11" t="n">
        <x:f>'Tax_Bridge'!C36</x:f>
        <x:v>28811349.289375596</x:v>
      </x:c>
      <x:c r="AG73" s="11" t="n">
        <x:f>'Tax_Bridge'!C37</x:f>
        <x:v>2184835.706513112</x:v>
      </x:c>
      <x:c r="AH73" s="11" t="n">
        <x:f>'Tax_Bridge'!C38</x:f>
        <x:v>9516133.428514805</x:v>
      </x:c>
      <x:c r="AI73" s="11" t="n">
        <x:f>'Tax_Bridge'!C39</x:f>
        <x:v>7581257.472126739</x:v>
      </x:c>
      <x:c r="AJ73" s="11" t="n">
        <x:f>'Tax_Bridge'!C40</x:f>
        <x:v>1982026.943838386</x:v>
      </x:c>
      <x:c r="AK73" s="11" t="n">
        <x:f>'Tax_Bridge'!C41</x:f>
        <x:v>28822790.850726325</x:v>
      </x:c>
      <x:c r="AL73" s="11" t="n">
        <x:f>'Tax_Bridge'!C42</x:f>
        <x:v>1024249.6021008184</x:v>
      </x:c>
      <x:c r="AM73" s="11" t="n">
        <x:f>'Tax_Bridge'!C43</x:f>
        <x:v>14797936.547332196</x:v>
      </x:c>
      <x:c r="AN73" s="11" t="n">
        <x:f>'Tax_Bridge'!C44</x:f>
        <x:v>4641329.497059665</x:v>
      </x:c>
      <x:c r="AO73" s="11" t="n">
        <x:f>'Tax_Bridge'!C45</x:f>
        <x:v>3392707.7561766016</x:v>
      </x:c>
      <x:c r="AP73" s="11" t="n">
        <x:f>'Tax_Bridge'!C46</x:f>
        <x:v>31756525.0254198</x:v>
      </x:c>
      <x:c r="AQ73" s="11" t="n">
        <x:f>'Tax_Bridge'!C47</x:f>
        <x:v>10415267.36029065</x:v>
      </x:c>
      <x:c r="AR73" s="11" t="n">
        <x:f>'Tax_Bridge'!C48</x:f>
        <x:v>2726673.3896466787</x:v>
      </x:c>
      <x:c r="AS73" s="11" t="n">
        <x:f>'Tax_Bridge'!C49</x:f>
        <x:v>4777312.972645775</x:v>
      </x:c>
      <x:c r="AT73" s="11" t="n">
        <x:f>'Tax_Bridge'!C50</x:f>
        <x:v>3765463.075041824</x:v>
      </x:c>
      <x:c r="AU73" s="11" t="n">
        <x:f>'Tax_Bridge'!C51</x:f>
        <x:v>2857008.812231447</x:v>
      </x:c>
      <x:c r="AV73" s="11" t="n">
        <x:f>'Tax_Bridge'!C52</x:f>
        <x:v>2643946.841618041</x:v>
      </x:c>
      <x:c r="AW73" s="11" t="n">
        <x:f>'Tax_Bridge'!C53</x:f>
        <x:v>242203.9892055229</x:v>
      </x:c>
      <x:c r="AX73" s="11" t="n">
        <x:f>'Tax_Bridge'!C54</x:f>
        <x:v>4304219.781380347</x:v>
      </x:c>
      <x:c r="AY73" s="11" t="n">
        <x:f>'Tax_Bridge'!C55</x:f>
        <x:v>497193.34942664154</x:v>
      </x:c>
      <x:c r="AZ73" s="11" t="n">
        <x:f>'Tax_Bridge'!C56</x:f>
        <x:v>2491866.7175289043</x:v>
      </x:c>
      <x:c r="BA73" s="11" t="n">
        <x:f>'Tax_Bridge'!C57</x:f>
        <x:v>579334.7195478311</x:v>
      </x:c>
      <x:c r="BB73" s="11" t="n">
        <x:f>'Tax_Bridge'!C58</x:f>
        <x:v>4165581.016844516</x:v>
      </x:c>
      <x:c r="BC73" s="11" t="n">
        <x:f>'Tax_Bridge'!C59</x:f>
        <x:v>3282419.575905395</x:v>
      </x:c>
      <x:c r="BD73" s="11" t="n">
        <x:f>'Tax_Bridge'!C60</x:f>
        <x:v>12797127.78078491</x:v>
      </x:c>
      <x:c r="BE73" s="11" t="n">
        <x:f>'Tax_Bridge'!C61</x:f>
        <x:v>4336635.741415062</x:v>
      </x:c>
      <x:c r="BF73" s="11" t="n">
        <x:f>'Tax_Bridge'!C62</x:f>
        <x:v>5822874.588703548</x:v>
      </x:c>
      <x:c r="BG73" s="11" t="n">
        <x:f>'Tax_Bridge'!C63</x:f>
        <x:v>406046.5326082981</x:v>
      </x:c>
      <x:c r="BH73" s="11" t="n">
        <x:f>'Tax_Bridge'!C64</x:f>
        <x:v>2332978.0117620872</x:v>
      </x:c>
      <x:c r="BI73" s="11" t="n">
        <x:f>'Tax_Bridge'!C65</x:f>
        <x:v>1146264.411998123</x:v>
      </x:c>
      <x:c r="BJ73" s="11" t="n">
        <x:f>'Tax_Bridge'!C66</x:f>
        <x:v>1369246.0356408763</x:v>
      </x:c>
      <x:c r="BK73" s="11" t="n">
        <x:f>'Tax_Bridge'!C67</x:f>
        <x:v>685216.4577158045</x:v>
      </x:c>
      <x:c r="BL73" s="11" t="n">
        <x:f>'Tax_Bridge'!C68</x:f>
        <x:v>710302.2106311405</x:v>
      </x:c>
      <x:c r="BM73" s="11" t="n">
        <x:f>'Tax_Bridge'!C69</x:f>
        <x:v>0</x:v>
      </x:c>
      <x:c r="BN73" s="11" t="n">
        <x:v>0</x:v>
      </x:c>
      <x:c r="BO73" s="11" t="n">
        <x:v>0</x:v>
      </x:c>
      <x:c r="BP73" s="11" t="n">
        <x:v>0</x:v>
      </x:c>
      <x:c r="BQ73" s="11" t="n">
        <x:v>0</x:v>
      </x:c>
      <x:c r="BR73" s="11" t="n">
        <x:v>0</x:v>
      </x:c>
      <x:c r="BS73" s="11" t="n">
        <x:f>'Tax_Bridge'!C70</x:f>
        <x:v>1396394534.7647357</x:v>
      </x:c>
      <x:c r="BT73" s="11" t="n">
        <x:f>'Tax_Bridge'!C71</x:f>
        <x:v>97123096.88386586</x:v>
      </x:c>
      <x:c r="BU73" s="11" t="n">
        <x:f>'Tax_Bridge'!C72</x:f>
        <x:v>952226679.8391796</x:v>
      </x:c>
      <x:c r="BV73" s="11" t="n">
        <x:f>'Tax_Bridge'!C73</x:f>
        <x:v>0</x:v>
      </x:c>
      <x:c r="BW73" s="17" t="n">
        <x:f>SUM(B73:BV73)</x:f>
        <x:v>2997641669.898267</x:v>
      </x:c>
    </x:row>
    <x:row r="74" ht="22" customHeight="1">
      <x:c r="A74" s="10" t="str">
        <x:v>DTAX</x:v>
      </x:c>
      <x:c r="B74" s="11" t="n">
        <x:v>0</x:v>
      </x:c>
      <x:c r="C74" s="11" t="n">
        <x:v>0</x:v>
      </x:c>
      <x:c r="D74" s="11" t="n">
        <x:v>0</x:v>
      </x:c>
      <x:c r="E74" s="11" t="n">
        <x:v>0</x:v>
      </x:c>
      <x:c r="F74" s="11" t="n">
        <x:v>0</x:v>
      </x:c>
      <x:c r="G74" s="11" t="n">
        <x:v>0</x:v>
      </x:c>
      <x:c r="H74" s="11" t="n">
        <x:v>0</x:v>
      </x:c>
      <x:c r="I74" s="11" t="n">
        <x:v>0</x:v>
      </x:c>
      <x:c r="J74" s="11" t="n">
        <x:v>0</x:v>
      </x:c>
      <x:c r="K74" s="11" t="n">
        <x:v>0</x:v>
      </x:c>
      <x:c r="L74" s="11" t="n">
        <x:v>0</x:v>
      </x:c>
      <x:c r="M74" s="11" t="n">
        <x:v>0</x:v>
      </x:c>
      <x:c r="N74" s="11" t="n">
        <x:v>0</x:v>
      </x:c>
      <x:c r="O74" s="11" t="n">
        <x:v>0</x:v>
      </x:c>
      <x:c r="P74" s="11" t="n">
        <x:v>0</x:v>
      </x:c>
      <x:c r="Q74" s="11" t="n">
        <x:v>0</x:v>
      </x:c>
      <x:c r="R74" s="11" t="n">
        <x:v>0</x:v>
      </x:c>
      <x:c r="S74" s="11" t="n">
        <x:v>0</x:v>
      </x:c>
      <x:c r="T74" s="11" t="n">
        <x:v>0</x:v>
      </x:c>
      <x:c r="U74" s="11" t="n">
        <x:v>0</x:v>
      </x:c>
      <x:c r="V74" s="11" t="n">
        <x:v>0</x:v>
      </x:c>
      <x:c r="W74" s="11" t="n">
        <x:v>0</x:v>
      </x:c>
      <x:c r="X74" s="11" t="n">
        <x:v>0</x:v>
      </x:c>
      <x:c r="Y74" s="11" t="n">
        <x:v>0</x:v>
      </x:c>
      <x:c r="Z74" s="11" t="n">
        <x:v>0</x:v>
      </x:c>
      <x:c r="AA74" s="11" t="n">
        <x:v>0</x:v>
      </x:c>
      <x:c r="AB74" s="11" t="n">
        <x:v>0</x:v>
      </x:c>
      <x:c r="AC74" s="11" t="n">
        <x:v>0</x:v>
      </x:c>
      <x:c r="AD74" s="11" t="n">
        <x:v>0</x:v>
      </x:c>
      <x:c r="AE74" s="11" t="n">
        <x:v>0</x:v>
      </x:c>
      <x:c r="AF74" s="11" t="n">
        <x:v>0</x:v>
      </x:c>
      <x:c r="AG74" s="11" t="n">
        <x:v>0</x:v>
      </x:c>
      <x:c r="AH74" s="11" t="n">
        <x:v>0</x:v>
      </x:c>
      <x:c r="AI74" s="11" t="n">
        <x:v>0</x:v>
      </x:c>
      <x:c r="AJ74" s="11" t="n">
        <x:v>0</x:v>
      </x:c>
      <x:c r="AK74" s="11" t="n">
        <x:v>0</x:v>
      </x:c>
      <x:c r="AL74" s="11" t="n">
        <x:v>0</x:v>
      </x:c>
      <x:c r="AM74" s="11" t="n">
        <x:v>0</x:v>
      </x:c>
      <x:c r="AN74" s="11" t="n">
        <x:v>0</x:v>
      </x:c>
      <x:c r="AO74" s="11" t="n">
        <x:v>0</x:v>
      </x:c>
      <x:c r="AP74" s="11" t="n">
        <x:v>0</x:v>
      </x:c>
      <x:c r="AQ74" s="11" t="n">
        <x:v>0</x:v>
      </x:c>
      <x:c r="AR74" s="11" t="n">
        <x:v>0</x:v>
      </x:c>
      <x:c r="AS74" s="11" t="n">
        <x:v>0</x:v>
      </x:c>
      <x:c r="AT74" s="11" t="n">
        <x:v>0</x:v>
      </x:c>
      <x:c r="AU74" s="11" t="n">
        <x:v>0</x:v>
      </x:c>
      <x:c r="AV74" s="11" t="n">
        <x:v>0</x:v>
      </x:c>
      <x:c r="AW74" s="11" t="n">
        <x:v>0</x:v>
      </x:c>
      <x:c r="AX74" s="11" t="n">
        <x:v>0</x:v>
      </x:c>
      <x:c r="AY74" s="11" t="n">
        <x:v>0</x:v>
      </x:c>
      <x:c r="AZ74" s="11" t="n">
        <x:v>0</x:v>
      </x:c>
      <x:c r="BA74" s="11" t="n">
        <x:v>0</x:v>
      </x:c>
      <x:c r="BB74" s="11" t="n">
        <x:v>0</x:v>
      </x:c>
      <x:c r="BC74" s="11" t="n">
        <x:v>0</x:v>
      </x:c>
      <x:c r="BD74" s="11" t="n">
        <x:v>0</x:v>
      </x:c>
      <x:c r="BE74" s="11" t="n">
        <x:v>0</x:v>
      </x:c>
      <x:c r="BF74" s="11" t="n">
        <x:v>0</x:v>
      </x:c>
      <x:c r="BG74" s="11" t="n">
        <x:v>0</x:v>
      </x:c>
      <x:c r="BH74" s="11" t="n">
        <x:v>0</x:v>
      </x:c>
      <x:c r="BI74" s="11" t="n">
        <x:v>0</x:v>
      </x:c>
      <x:c r="BJ74" s="11" t="n">
        <x:v>0</x:v>
      </x:c>
      <x:c r="BK74" s="11" t="n">
        <x:v>0</x:v>
      </x:c>
      <x:c r="BL74" s="11" t="n">
        <x:v>0</x:v>
      </x:c>
      <x:c r="BM74" s="11" t="n">
        <x:v>0</x:v>
      </x:c>
      <x:c r="BN74" s="11" t="n">
        <x:v>0</x:v>
      </x:c>
      <x:c r="BO74" s="11" t="n">
        <x:v>0</x:v>
      </x:c>
      <x:c r="BP74" s="11" t="n">
        <x:v>0</x:v>
      </x:c>
      <x:c r="BQ74" s="11" t="n">
        <x:v>0</x:v>
      </x:c>
      <x:c r="BR74" s="11" t="n">
        <x:v>0</x:v>
      </x:c>
      <x:c r="BS74" s="11" t="n">
        <x:f>'Tax_Bridge'!B78</x:f>
        <x:v>1762053126.8570008</x:v>
      </x:c>
      <x:c r="BT74" s="11" t="n">
        <x:v>0</x:v>
      </x:c>
      <x:c r="BU74" s="11" t="n">
        <x:v>0</x:v>
      </x:c>
      <x:c r="BV74" s="11" t="n">
        <x:v>0</x:v>
      </x:c>
      <x:c r="BW74" s="17" t="n">
        <x:f>SUM(B74:BV74)</x:f>
        <x:v>1762053126.8570008</x:v>
      </x:c>
    </x:row>
    <x:row r="75" ht="22" customHeight="1">
      <x:c r="A75" s="10" t="str">
        <x:v>HOH</x:v>
      </x:c>
      <x:c r="B75" s="11" t="n">
        <x:v>0</x:v>
      </x:c>
      <x:c r="C75" s="11" t="n">
        <x:v>0</x:v>
      </x:c>
      <x:c r="D75" s="11" t="n">
        <x:v>0</x:v>
      </x:c>
      <x:c r="E75" s="11" t="n">
        <x:v>0</x:v>
      </x:c>
      <x:c r="F75" s="11" t="n">
        <x:v>0</x:v>
      </x:c>
      <x:c r="G75" s="11" t="n">
        <x:v>0</x:v>
      </x:c>
      <x:c r="H75" s="11" t="n">
        <x:v>0</x:v>
      </x:c>
      <x:c r="I75" s="11" t="n">
        <x:v>0</x:v>
      </x:c>
      <x:c r="J75" s="11" t="n">
        <x:v>0</x:v>
      </x:c>
      <x:c r="K75" s="11" t="n">
        <x:v>0</x:v>
      </x:c>
      <x:c r="L75" s="11" t="n">
        <x:v>0</x:v>
      </x:c>
      <x:c r="M75" s="11" t="n">
        <x:v>0</x:v>
      </x:c>
      <x:c r="N75" s="11" t="n">
        <x:v>0</x:v>
      </x:c>
      <x:c r="O75" s="11" t="n">
        <x:v>0</x:v>
      </x:c>
      <x:c r="P75" s="11" t="n">
        <x:v>0</x:v>
      </x:c>
      <x:c r="Q75" s="11" t="n">
        <x:v>0</x:v>
      </x:c>
      <x:c r="R75" s="11" t="n">
        <x:v>0</x:v>
      </x:c>
      <x:c r="S75" s="11" t="n">
        <x:v>0</x:v>
      </x:c>
      <x:c r="T75" s="11" t="n">
        <x:v>0</x:v>
      </x:c>
      <x:c r="U75" s="11" t="n">
        <x:v>0</x:v>
      </x:c>
      <x:c r="V75" s="11" t="n">
        <x:v>0</x:v>
      </x:c>
      <x:c r="W75" s="11" t="n">
        <x:v>0</x:v>
      </x:c>
      <x:c r="X75" s="11" t="n">
        <x:v>0</x:v>
      </x:c>
      <x:c r="Y75" s="11" t="n">
        <x:v>0</x:v>
      </x:c>
      <x:c r="Z75" s="11" t="n">
        <x:v>0</x:v>
      </x:c>
      <x:c r="AA75" s="11" t="n">
        <x:v>0</x:v>
      </x:c>
      <x:c r="AB75" s="11" t="n">
        <x:v>0</x:v>
      </x:c>
      <x:c r="AC75" s="11" t="n">
        <x:v>0</x:v>
      </x:c>
      <x:c r="AD75" s="11" t="n">
        <x:v>0</x:v>
      </x:c>
      <x:c r="AE75" s="11" t="n">
        <x:v>0</x:v>
      </x:c>
      <x:c r="AF75" s="11" t="n">
        <x:v>0</x:v>
      </x:c>
      <x:c r="AG75" s="11" t="n">
        <x:v>0</x:v>
      </x:c>
      <x:c r="AH75" s="11" t="n">
        <x:v>0</x:v>
      </x:c>
      <x:c r="AI75" s="11" t="n">
        <x:v>0</x:v>
      </x:c>
      <x:c r="AJ75" s="11" t="n">
        <x:v>0</x:v>
      </x:c>
      <x:c r="AK75" s="11" t="n">
        <x:v>0</x:v>
      </x:c>
      <x:c r="AL75" s="11" t="n">
        <x:v>0</x:v>
      </x:c>
      <x:c r="AM75" s="11" t="n">
        <x:v>0</x:v>
      </x:c>
      <x:c r="AN75" s="11" t="n">
        <x:v>0</x:v>
      </x:c>
      <x:c r="AO75" s="11" t="n">
        <x:v>0</x:v>
      </x:c>
      <x:c r="AP75" s="11" t="n">
        <x:v>0</x:v>
      </x:c>
      <x:c r="AQ75" s="11" t="n">
        <x:v>0</x:v>
      </x:c>
      <x:c r="AR75" s="11" t="n">
        <x:v>0</x:v>
      </x:c>
      <x:c r="AS75" s="11" t="n">
        <x:v>0</x:v>
      </x:c>
      <x:c r="AT75" s="11" t="n">
        <x:v>0</x:v>
      </x:c>
      <x:c r="AU75" s="11" t="n">
        <x:v>0</x:v>
      </x:c>
      <x:c r="AV75" s="11" t="n">
        <x:v>0</x:v>
      </x:c>
      <x:c r="AW75" s="11" t="n">
        <x:v>0</x:v>
      </x:c>
      <x:c r="AX75" s="11" t="n">
        <x:v>0</x:v>
      </x:c>
      <x:c r="AY75" s="11" t="n">
        <x:v>0</x:v>
      </x:c>
      <x:c r="AZ75" s="11" t="n">
        <x:v>0</x:v>
      </x:c>
      <x:c r="BA75" s="11" t="n">
        <x:v>0</x:v>
      </x:c>
      <x:c r="BB75" s="11" t="n">
        <x:v>0</x:v>
      </x:c>
      <x:c r="BC75" s="11" t="n">
        <x:v>0</x:v>
      </x:c>
      <x:c r="BD75" s="11" t="n">
        <x:v>0</x:v>
      </x:c>
      <x:c r="BE75" s="11" t="n">
        <x:v>0</x:v>
      </x:c>
      <x:c r="BF75" s="11" t="n">
        <x:v>0</x:v>
      </x:c>
      <x:c r="BG75" s="11" t="n">
        <x:v>0</x:v>
      </x:c>
      <x:c r="BH75" s="11" t="n">
        <x:v>0</x:v>
      </x:c>
      <x:c r="BI75" s="11" t="n">
        <x:v>0</x:v>
      </x:c>
      <x:c r="BJ75" s="11" t="n">
        <x:v>0</x:v>
      </x:c>
      <x:c r="BK75" s="11" t="n">
        <x:v>0</x:v>
      </x:c>
      <x:c r="BL75" s="11" t="n">
        <x:v>0</x:v>
      </x:c>
      <x:c r="BM75" s="11" t="n">
        <x:v>0</x:v>
      </x:c>
      <x:c r="BN75" s="11" t="n">
        <x:f>SUM(B70:BM70)</x:f>
        <x:v>7755515400.008977</x:v>
      </x:c>
      <x:c r="BO75" s="11" t="n">
        <x:f>SUM(B71:BM71)</x:f>
        <x:v>16659364806.724644</x:v>
      </x:c>
      <x:c r="BP75" s="11" t="n">
        <x:v>0</x:v>
      </x:c>
      <x:c r="BQ75" s="11" t="n">
        <x:v>0</x:v>
      </x:c>
      <x:c r="BR75" s="11" t="n">
        <x:v>0</x:v>
      </x:c>
      <x:c r="BS75" s="11" t="n">
        <x:v>0</x:v>
      </x:c>
      <x:c r="BT75" s="11" t="n">
        <x:v>0</x:v>
      </x:c>
      <x:c r="BU75" s="11" t="n">
        <x:v>0</x:v>
      </x:c>
      <x:c r="BV75" s="11" t="n">
        <x:v>0</x:v>
      </x:c>
      <x:c r="BW75" s="17" t="n">
        <x:f>SUM(B75:BV75)</x:f>
        <x:v>24414880206.73362</x:v>
      </x:c>
    </x:row>
    <x:row r="76" ht="22" customHeight="1">
      <x:c r="A76" s="10" t="str">
        <x:v>GOV</x:v>
      </x:c>
      <x:c r="B76" s="11" t="n">
        <x:v>0</x:v>
      </x:c>
      <x:c r="C76" s="11" t="n">
        <x:v>0</x:v>
      </x:c>
      <x:c r="D76" s="11" t="n">
        <x:v>0</x:v>
      </x:c>
      <x:c r="E76" s="11" t="n">
        <x:v>0</x:v>
      </x:c>
      <x:c r="F76" s="11" t="n">
        <x:v>0</x:v>
      </x:c>
      <x:c r="G76" s="11" t="n">
        <x:v>0</x:v>
      </x:c>
      <x:c r="H76" s="11" t="n">
        <x:v>0</x:v>
      </x:c>
      <x:c r="I76" s="11" t="n">
        <x:v>0</x:v>
      </x:c>
      <x:c r="J76" s="11" t="n">
        <x:v>0</x:v>
      </x:c>
      <x:c r="K76" s="11" t="n">
        <x:v>0</x:v>
      </x:c>
      <x:c r="L76" s="11" t="n">
        <x:v>0</x:v>
      </x:c>
      <x:c r="M76" s="11" t="n">
        <x:v>0</x:v>
      </x:c>
      <x:c r="N76" s="11" t="n">
        <x:v>0</x:v>
      </x:c>
      <x:c r="O76" s="11" t="n">
        <x:v>0</x:v>
      </x:c>
      <x:c r="P76" s="11" t="n">
        <x:v>0</x:v>
      </x:c>
      <x:c r="Q76" s="11" t="n">
        <x:v>0</x:v>
      </x:c>
      <x:c r="R76" s="11" t="n">
        <x:v>0</x:v>
      </x:c>
      <x:c r="S76" s="11" t="n">
        <x:v>0</x:v>
      </x:c>
      <x:c r="T76" s="11" t="n">
        <x:v>0</x:v>
      </x:c>
      <x:c r="U76" s="11" t="n">
        <x:v>0</x:v>
      </x:c>
      <x:c r="V76" s="11" t="n">
        <x:v>0</x:v>
      </x:c>
      <x:c r="W76" s="11" t="n">
        <x:v>0</x:v>
      </x:c>
      <x:c r="X76" s="11" t="n">
        <x:v>0</x:v>
      </x:c>
      <x:c r="Y76" s="11" t="n">
        <x:v>0</x:v>
      </x:c>
      <x:c r="Z76" s="11" t="n">
        <x:v>0</x:v>
      </x:c>
      <x:c r="AA76" s="11" t="n">
        <x:v>0</x:v>
      </x:c>
      <x:c r="AB76" s="11" t="n">
        <x:v>0</x:v>
      </x:c>
      <x:c r="AC76" s="11" t="n">
        <x:v>0</x:v>
      </x:c>
      <x:c r="AD76" s="11" t="n">
        <x:v>0</x:v>
      </x:c>
      <x:c r="AE76" s="11" t="n">
        <x:v>0</x:v>
      </x:c>
      <x:c r="AF76" s="11" t="n">
        <x:v>0</x:v>
      </x:c>
      <x:c r="AG76" s="11" t="n">
        <x:v>0</x:v>
      </x:c>
      <x:c r="AH76" s="11" t="n">
        <x:v>0</x:v>
      </x:c>
      <x:c r="AI76" s="11" t="n">
        <x:v>0</x:v>
      </x:c>
      <x:c r="AJ76" s="11" t="n">
        <x:v>0</x:v>
      </x:c>
      <x:c r="AK76" s="11" t="n">
        <x:v>0</x:v>
      </x:c>
      <x:c r="AL76" s="11" t="n">
        <x:v>0</x:v>
      </x:c>
      <x:c r="AM76" s="11" t="n">
        <x:v>0</x:v>
      </x:c>
      <x:c r="AN76" s="11" t="n">
        <x:v>0</x:v>
      </x:c>
      <x:c r="AO76" s="11" t="n">
        <x:v>0</x:v>
      </x:c>
      <x:c r="AP76" s="11" t="n">
        <x:v>0</x:v>
      </x:c>
      <x:c r="AQ76" s="11" t="n">
        <x:v>0</x:v>
      </x:c>
      <x:c r="AR76" s="11" t="n">
        <x:v>0</x:v>
      </x:c>
      <x:c r="AS76" s="11" t="n">
        <x:v>0</x:v>
      </x:c>
      <x:c r="AT76" s="11" t="n">
        <x:v>0</x:v>
      </x:c>
      <x:c r="AU76" s="11" t="n">
        <x:v>0</x:v>
      </x:c>
      <x:c r="AV76" s="11" t="n">
        <x:v>0</x:v>
      </x:c>
      <x:c r="AW76" s="11" t="n">
        <x:v>0</x:v>
      </x:c>
      <x:c r="AX76" s="11" t="n">
        <x:v>0</x:v>
      </x:c>
      <x:c r="AY76" s="11" t="n">
        <x:v>0</x:v>
      </x:c>
      <x:c r="AZ76" s="11" t="n">
        <x:v>0</x:v>
      </x:c>
      <x:c r="BA76" s="11" t="n">
        <x:v>0</x:v>
      </x:c>
      <x:c r="BB76" s="11" t="n">
        <x:v>0</x:v>
      </x:c>
      <x:c r="BC76" s="11" t="n">
        <x:v>0</x:v>
      </x:c>
      <x:c r="BD76" s="11" t="n">
        <x:v>0</x:v>
      </x:c>
      <x:c r="BE76" s="11" t="n">
        <x:v>0</x:v>
      </x:c>
      <x:c r="BF76" s="11" t="n">
        <x:v>0</x:v>
      </x:c>
      <x:c r="BG76" s="11" t="n">
        <x:v>0</x:v>
      </x:c>
      <x:c r="BH76" s="11" t="n">
        <x:v>0</x:v>
      </x:c>
      <x:c r="BI76" s="11" t="n">
        <x:v>0</x:v>
      </x:c>
      <x:c r="BJ76" s="11" t="n">
        <x:v>0</x:v>
      </x:c>
      <x:c r="BK76" s="11" t="n">
        <x:v>0</x:v>
      </x:c>
      <x:c r="BL76" s="11" t="n">
        <x:v>0</x:v>
      </x:c>
      <x:c r="BM76" s="11" t="n">
        <x:v>0</x:v>
      </x:c>
      <x:c r="BN76" s="11" t="n">
        <x:v>0</x:v>
      </x:c>
      <x:c r="BO76" s="11" t="n">
        <x:v>0</x:v>
      </x:c>
      <x:c r="BP76" s="11" t="n">
        <x:f>SUM(B72:BV72)</x:f>
        <x:v>-321052811.9305102</x:v>
      </x:c>
      <x:c r="BQ76" s="11" t="n">
        <x:f>SUM(B73:BV73)</x:f>
        <x:v>2997641669.898267</x:v>
      </x:c>
      <x:c r="BR76" s="11" t="n">
        <x:f>BS74</x:f>
        <x:v>1762053126.8570008</x:v>
      </x:c>
      <x:c r="BS76" s="11" t="n">
        <x:v>0</x:v>
      </x:c>
      <x:c r="BT76" s="11" t="n">
        <x:v>0</x:v>
      </x:c>
      <x:c r="BU76" s="11" t="n">
        <x:v>0</x:v>
      </x:c>
      <x:c r="BV76" s="11" t="n">
        <x:v>0</x:v>
      </x:c>
      <x:c r="BW76" s="17" t="n">
        <x:f>SUM(B76:BV76)</x:f>
        <x:v>4438641984.824758</x:v>
      </x:c>
    </x:row>
    <x:row r="77" ht="22" customHeight="1">
      <x:c r="A77" s="10" t="str">
        <x:v>INV</x:v>
      </x:c>
      <x:c r="B77" s="11" t="n">
        <x:v>0</x:v>
      </x:c>
      <x:c r="C77" s="11" t="n">
        <x:v>0</x:v>
      </x:c>
      <x:c r="D77" s="11" t="n">
        <x:v>0</x:v>
      </x:c>
      <x:c r="E77" s="11" t="n">
        <x:v>0</x:v>
      </x:c>
      <x:c r="F77" s="11" t="n">
        <x:v>0</x:v>
      </x:c>
      <x:c r="G77" s="11" t="n">
        <x:v>0</x:v>
      </x:c>
      <x:c r="H77" s="11" t="n">
        <x:v>0</x:v>
      </x:c>
      <x:c r="I77" s="11" t="n">
        <x:v>0</x:v>
      </x:c>
      <x:c r="J77" s="11" t="n">
        <x:v>0</x:v>
      </x:c>
      <x:c r="K77" s="11" t="n">
        <x:v>0</x:v>
      </x:c>
      <x:c r="L77" s="11" t="n">
        <x:v>0</x:v>
      </x:c>
      <x:c r="M77" s="11" t="n">
        <x:v>0</x:v>
      </x:c>
      <x:c r="N77" s="11" t="n">
        <x:v>0</x:v>
      </x:c>
      <x:c r="O77" s="11" t="n">
        <x:v>0</x:v>
      </x:c>
      <x:c r="P77" s="11" t="n">
        <x:v>0</x:v>
      </x:c>
      <x:c r="Q77" s="11" t="n">
        <x:v>0</x:v>
      </x:c>
      <x:c r="R77" s="11" t="n">
        <x:v>0</x:v>
      </x:c>
      <x:c r="S77" s="11" t="n">
        <x:v>0</x:v>
      </x:c>
      <x:c r="T77" s="11" t="n">
        <x:v>0</x:v>
      </x:c>
      <x:c r="U77" s="11" t="n">
        <x:v>0</x:v>
      </x:c>
      <x:c r="V77" s="11" t="n">
        <x:v>0</x:v>
      </x:c>
      <x:c r="W77" s="11" t="n">
        <x:v>0</x:v>
      </x:c>
      <x:c r="X77" s="11" t="n">
        <x:v>0</x:v>
      </x:c>
      <x:c r="Y77" s="11" t="n">
        <x:v>0</x:v>
      </x:c>
      <x:c r="Z77" s="11" t="n">
        <x:v>0</x:v>
      </x:c>
      <x:c r="AA77" s="11" t="n">
        <x:v>0</x:v>
      </x:c>
      <x:c r="AB77" s="11" t="n">
        <x:v>0</x:v>
      </x:c>
      <x:c r="AC77" s="11" t="n">
        <x:v>0</x:v>
      </x:c>
      <x:c r="AD77" s="11" t="n">
        <x:v>0</x:v>
      </x:c>
      <x:c r="AE77" s="11" t="n">
        <x:v>0</x:v>
      </x:c>
      <x:c r="AF77" s="11" t="n">
        <x:v>0</x:v>
      </x:c>
      <x:c r="AG77" s="11" t="n">
        <x:v>0</x:v>
      </x:c>
      <x:c r="AH77" s="11" t="n">
        <x:v>0</x:v>
      </x:c>
      <x:c r="AI77" s="11" t="n">
        <x:v>0</x:v>
      </x:c>
      <x:c r="AJ77" s="11" t="n">
        <x:v>0</x:v>
      </x:c>
      <x:c r="AK77" s="11" t="n">
        <x:v>0</x:v>
      </x:c>
      <x:c r="AL77" s="11" t="n">
        <x:v>0</x:v>
      </x:c>
      <x:c r="AM77" s="11" t="n">
        <x:v>0</x:v>
      </x:c>
      <x:c r="AN77" s="11" t="n">
        <x:v>0</x:v>
      </x:c>
      <x:c r="AO77" s="11" t="n">
        <x:v>0</x:v>
      </x:c>
      <x:c r="AP77" s="11" t="n">
        <x:v>0</x:v>
      </x:c>
      <x:c r="AQ77" s="11" t="n">
        <x:v>0</x:v>
      </x:c>
      <x:c r="AR77" s="11" t="n">
        <x:v>0</x:v>
      </x:c>
      <x:c r="AS77" s="11" t="n">
        <x:v>0</x:v>
      </x:c>
      <x:c r="AT77" s="11" t="n">
        <x:v>0</x:v>
      </x:c>
      <x:c r="AU77" s="11" t="n">
        <x:v>0</x:v>
      </x:c>
      <x:c r="AV77" s="11" t="n">
        <x:v>0</x:v>
      </x:c>
      <x:c r="AW77" s="11" t="n">
        <x:v>0</x:v>
      </x:c>
      <x:c r="AX77" s="11" t="n">
        <x:v>0</x:v>
      </x:c>
      <x:c r="AY77" s="11" t="n">
        <x:v>0</x:v>
      </x:c>
      <x:c r="AZ77" s="11" t="n">
        <x:v>0</x:v>
      </x:c>
      <x:c r="BA77" s="11" t="n">
        <x:v>0</x:v>
      </x:c>
      <x:c r="BB77" s="11" t="n">
        <x:v>0</x:v>
      </x:c>
      <x:c r="BC77" s="11" t="n">
        <x:v>0</x:v>
      </x:c>
      <x:c r="BD77" s="11" t="n">
        <x:v>0</x:v>
      </x:c>
      <x:c r="BE77" s="11" t="n">
        <x:v>0</x:v>
      </x:c>
      <x:c r="BF77" s="11" t="n">
        <x:v>0</x:v>
      </x:c>
      <x:c r="BG77" s="11" t="n">
        <x:v>0</x:v>
      </x:c>
      <x:c r="BH77" s="11" t="n">
        <x:v>0</x:v>
      </x:c>
      <x:c r="BI77" s="11" t="n">
        <x:v>0</x:v>
      </x:c>
      <x:c r="BJ77" s="11" t="n">
        <x:v>0</x:v>
      </x:c>
      <x:c r="BK77" s="11" t="n">
        <x:v>0</x:v>
      </x:c>
      <x:c r="BL77" s="11" t="n">
        <x:v>0</x:v>
      </x:c>
      <x:c r="BM77" s="11" t="n">
        <x:v>0</x:v>
      </x:c>
      <x:c r="BN77" s="11" t="n">
        <x:v>0</x:v>
      </x:c>
      <x:c r="BO77" s="11" t="n">
        <x:v>0</x:v>
      </x:c>
      <x:c r="BP77" s="11" t="n">
        <x:v>0</x:v>
      </x:c>
      <x:c r="BQ77" s="11" t="n">
        <x:v>0</x:v>
      </x:c>
      <x:c r="BR77" s="11" t="n">
        <x:v>0</x:v>
      </x:c>
      <x:c r="BS77" s="11" t="n">
        <x:f>BN75+BO75-SUM(BS6:BS69)-BS73-BS74</x:f>
        <x:v>6613725242.959606</x:v>
      </x:c>
      <x:c r="BT77" s="11" t="n">
        <x:f>BP76+BQ76+BR76-SUM(BT6:BT69)-BT73</x:f>
        <x:v>852798860.6981869</x:v>
      </x:c>
      <x:c r="BU77" s="11" t="n">
        <x:v>0</x:v>
      </x:c>
      <x:c r="BV77" s="11" t="n">
        <x:f>SUM(B78:BM78)-SUM(BV6:BV69)-BV73</x:f>
        <x:v>1903948127.4432535</x:v>
      </x:c>
      <x:c r="BW77" s="17" t="n">
        <x:f>SUM(B77:BV77)</x:f>
        <x:v>9370472231.101048</x:v>
      </x:c>
    </x:row>
    <x:row r="78" ht="22" customHeight="1">
      <x:c r="A78" s="10" t="str">
        <x:v>EXT</x:v>
      </x:c>
      <x:c r="B78" s="11" t="n">
        <x:v>317980315.88393193</x:v>
      </x:c>
      <x:c r="C78" s="11" t="n">
        <x:v>1097532.4554003845</x:v>
      </x:c>
      <x:c r="D78" s="11" t="n">
        <x:v>1623336.5696095855</x:v>
      </x:c>
      <x:c r="E78" s="11" t="n">
        <x:v>978368842.5055256</x:v>
      </x:c>
      <x:c r="F78" s="11" t="n">
        <x:v>311985861.44274944</x:v>
      </x:c>
      <x:c r="G78" s="11" t="n">
        <x:v>255087814.0342766</x:v>
      </x:c>
      <x:c r="H78" s="11" t="n">
        <x:v>27631730.967654146</x:v>
      </x:c>
      <x:c r="I78" s="11" t="n">
        <x:v>117431889.84806776</x:v>
      </x:c>
      <x:c r="J78" s="11" t="n">
        <x:v>3455424.87657023</x:v>
      </x:c>
      <x:c r="K78" s="11" t="n">
        <x:v>688324244.8026574</x:v>
      </x:c>
      <x:c r="L78" s="11" t="n">
        <x:v>773601073.0352762</x:v>
      </x:c>
      <x:c r="M78" s="11" t="n">
        <x:v>122717004.85425566</x:v>
      </x:c>
      <x:c r="N78" s="11" t="n">
        <x:v>176469090.86167595</x:v>
      </x:c>
      <x:c r="O78" s="11" t="n">
        <x:v>138590160.49095792</x:v>
      </x:c>
      <x:c r="P78" s="11" t="n">
        <x:v>1383425100.2821593</x:v>
      </x:c>
      <x:c r="Q78" s="11" t="n">
        <x:v>211930565.5293321</x:v>
      </x:c>
      <x:c r="R78" s="11" t="n">
        <x:v>423881342.0548255</x:v>
      </x:c>
      <x:c r="S78" s="11" t="n">
        <x:v>391272128.2807558</x:v>
      </x:c>
      <x:c r="T78" s="11" t="n">
        <x:v>629257417.1068466</x:v>
      </x:c>
      <x:c r="U78" s="11" t="n">
        <x:v>872835056.7180083</x:v>
      </x:c>
      <x:c r="V78" s="11" t="n">
        <x:v>173347377.3169201</x:v>
      </x:c>
      <x:c r="W78" s="11" t="n">
        <x:v>105935546.05005093</x:v>
      </x:c>
      <x:c r="X78" s="11" t="n">
        <x:v>34879671.80311383</x:v>
      </x:c>
      <x:c r="Y78" s="11" t="n">
        <x:v>31945566.2362023</x:v>
      </x:c>
      <x:c r="Z78" s="11" t="n">
        <x:v>71929.33637831901</x:v>
      </x:c>
      <x:c r="AA78" s="11" t="n">
        <x:v>215935132.53930664</x:v>
      </x:c>
      <x:c r="AB78" s="11" t="n">
        <x:v>67332354.27620956</x:v>
      </x:c>
      <x:c r="AC78" s="11" t="n">
        <x:v>6049565.127863079</x:v>
      </x:c>
      <x:c r="AD78" s="11" t="n">
        <x:v>69458753.07436748</x:v>
      </x:c>
      <x:c r="AE78" s="11" t="n">
        <x:v>12074155.841536067</x:v>
      </x:c>
      <x:c r="AF78" s="11" t="n">
        <x:v>31434097.908862215</x:v>
      </x:c>
      <x:c r="AG78" s="11" t="n">
        <x:v>5551516.420580214</x:v>
      </x:c>
      <x:c r="AH78" s="11" t="n">
        <x:v>17242824.056319032</x:v>
      </x:c>
      <x:c r="AI78" s="11" t="n">
        <x:v>81182169.32281765</x:v>
      </x:c>
      <x:c r="AJ78" s="11" t="n">
        <x:v>815995.0269568613</x:v>
      </x:c>
      <x:c r="AK78" s="11" t="n">
        <x:v>38463368.95936771</x:v>
      </x:c>
      <x:c r="AL78" s="11" t="n">
        <x:v>47972970.4485694</x:v>
      </x:c>
      <x:c r="AM78" s="11" t="n">
        <x:v>14059094.068151494</x:v>
      </x:c>
      <x:c r="AN78" s="11" t="n">
        <x:v>6723110.987710756</x:v>
      </x:c>
      <x:c r="AO78" s="11" t="n">
        <x:v>59226681.11287961</x:v>
      </x:c>
      <x:c r="AP78" s="11" t="n">
        <x:v>44415949.953208424</x:v>
      </x:c>
      <x:c r="AQ78" s="11" t="n">
        <x:v>57161181.784740716</x:v>
      </x:c>
      <x:c r="AR78" s="11" t="n">
        <x:v>2040991.2640054468</x:v>
      </x:c>
      <x:c r="AS78" s="11" t="n">
        <x:v>5515484.707433158</x:v>
      </x:c>
      <x:c r="AT78" s="11" t="n">
        <x:v>0</x:v>
      </x:c>
      <x:c r="AU78" s="11" t="n">
        <x:v>46863282.72025912</x:v>
      </x:c>
      <x:c r="AV78" s="11" t="n">
        <x:v>30892885.012583625</x:v>
      </x:c>
      <x:c r="AW78" s="11" t="n">
        <x:v>1684734.4137847347</x:v>
      </x:c>
      <x:c r="AX78" s="11" t="n">
        <x:v>25400511.96531956</x:v>
      </x:c>
      <x:c r="AY78" s="11" t="n">
        <x:v>15797047.346082995</x:v>
      </x:c>
      <x:c r="AZ78" s="11" t="n">
        <x:v>61598514.07235697</x:v>
      </x:c>
      <x:c r="BA78" s="11" t="n">
        <x:v>4220295.231832092</x:v>
      </x:c>
      <x:c r="BB78" s="11" t="n">
        <x:v>10482705.962311195</x:v>
      </x:c>
      <x:c r="BC78" s="11" t="n">
        <x:v>7393168.9072489925</x:v>
      </x:c>
      <x:c r="BD78" s="11" t="n">
        <x:v>36706608.90349954</x:v>
      </x:c>
      <x:c r="BE78" s="11" t="n">
        <x:v>2565200.514871534</x:v>
      </x:c>
      <x:c r="BF78" s="11" t="n">
        <x:v>854218.6107954498</x:v>
      </x:c>
      <x:c r="BG78" s="11" t="n">
        <x:v>120647.86818176265</x:v>
      </x:c>
      <x:c r="BH78" s="11" t="n">
        <x:v>1273172.7695200986</x:v>
      </x:c>
      <x:c r="BI78" s="11" t="n">
        <x:v>990670.2194661199</x:v>
      </x:c>
      <x:c r="BJ78" s="11" t="n">
        <x:v>3733.0035076921913</x:v>
      </x:c>
      <x:c r="BK78" s="11" t="n">
        <x:v>358914.1942667867</x:v>
      </x:c>
      <x:c r="BL78" s="11" t="n">
        <x:v>368709.902613957</x:v>
      </x:c>
      <x:c r="BM78" s="11" t="n">
        <x:v>0</x:v>
      </x:c>
      <x:c r="BN78" s="11" t="n">
        <x:v>0</x:v>
      </x:c>
      <x:c r="BO78" s="11" t="n">
        <x:v>0</x:v>
      </x:c>
      <x:c r="BP78" s="11" t="n">
        <x:v>0</x:v>
      </x:c>
      <x:c r="BQ78" s="11" t="n">
        <x:v>0</x:v>
      </x:c>
      <x:c r="BR78" s="11" t="n">
        <x:v>0</x:v>
      </x:c>
      <x:c r="BS78" s="11" t="n">
        <x:v>0</x:v>
      </x:c>
      <x:c r="BT78" s="11" t="n">
        <x:v>0</x:v>
      </x:c>
      <x:c r="BU78" s="11" t="n">
        <x:v>0</x:v>
      </x:c>
      <x:c r="BV78" s="11" t="n">
        <x:v>0</x:v>
      </x:c>
      <x:c r="BW78" s="17" t="n">
        <x:f>SUM(B78:BV78)</x:f>
        <x:v>9203376441.842588</x:v>
      </x:c>
    </x:row>
    <x:row r="79" ht="22" customHeight="1">
      <x:c r="A79" s="14" t="str">
        <x:v>TOTAL</x:v>
      </x:c>
      <x:c r="B79" s="15" t="n">
        <x:f>SUM(B6:B78)</x:f>
        <x:v>2865510018.7044387</x:v>
      </x:c>
      <x:c r="C79" s="15" t="n">
        <x:f>SUM(C6:C78)</x:f>
        <x:v>69435713.290159</x:v>
      </x:c>
      <x:c r="D79" s="15" t="n">
        <x:f>SUM(D6:D78)</x:f>
        <x:v>69261410.76434304</x:v>
      </x:c>
      <x:c r="E79" s="15" t="n">
        <x:f>SUM(E6:E78)</x:f>
        <x:v>1526026343.48624</x:v>
      </x:c>
      <x:c r="F79" s="15" t="n">
        <x:f>SUM(F6:F78)</x:f>
        <x:v>3114057519.659195</x:v>
      </x:c>
      <x:c r="G79" s="15" t="n">
        <x:f>SUM(G6:G78)</x:f>
        <x:v>2392305146.41106</x:v>
      </x:c>
      <x:c r="H79" s="15" t="n">
        <x:f>SUM(H6:H78)</x:f>
        <x:v>299266830.5754659</x:v>
      </x:c>
      <x:c r="I79" s="15" t="n">
        <x:f>SUM(I6:I78)</x:f>
        <x:v>543878079.0436822</x:v>
      </x:c>
      <x:c r="J79" s="15" t="n">
        <x:f>SUM(J6:J78)</x:f>
        <x:v>121180388.63072136</x:v>
      </x:c>
      <x:c r="K79" s="15" t="n">
        <x:f>SUM(K6:K78)</x:f>
        <x:v>1481020712.4404693</x:v>
      </x:c>
      <x:c r="L79" s="15" t="n">
        <x:f>SUM(L6:L78)</x:f>
        <x:v>1640432240.0340457</x:v>
      </x:c>
      <x:c r="M79" s="15" t="n">
        <x:f>SUM(M6:M78)</x:f>
        <x:v>307369079.5761586</x:v>
      </x:c>
      <x:c r="N79" s="15" t="n">
        <x:f>SUM(N6:N78)</x:f>
        <x:v>1020135260.5059896</x:v>
      </x:c>
      <x:c r="O79" s="15" t="n">
        <x:f>SUM(O6:O78)</x:f>
        <x:v>1062588668.5276432</x:v>
      </x:c>
      <x:c r="P79" s="15" t="n">
        <x:f>SUM(P6:P78)</x:f>
        <x:v>3131001584.6051574</x:v>
      </x:c>
      <x:c r="Q79" s="15" t="n">
        <x:f>SUM(Q6:Q78)</x:f>
        <x:v>1400023458.553879</x:v>
      </x:c>
      <x:c r="R79" s="15" t="n">
        <x:f>SUM(R6:R78)</x:f>
        <x:v>722237056.8545702</x:v>
      </x:c>
      <x:c r="S79" s="15" t="n">
        <x:f>SUM(S6:S78)</x:f>
        <x:v>1312067406.3437762</x:v>
      </x:c>
      <x:c r="T79" s="15" t="n">
        <x:f>SUM(T6:T78)</x:f>
        <x:v>1545797579.0829</x:v>
      </x:c>
      <x:c r="U79" s="15" t="n">
        <x:f>SUM(U6:U78)</x:f>
        <x:v>2337412973.3754787</x:v>
      </x:c>
      <x:c r="V79" s="15" t="n">
        <x:f>SUM(V6:V78)</x:f>
        <x:v>606850312.5784154</x:v>
      </x:c>
      <x:c r="W79" s="15" t="n">
        <x:f>SUM(W6:W78)</x:f>
        <x:v>747170210.0175637</x:v>
      </x:c>
      <x:c r="X79" s="15" t="n">
        <x:f>SUM(X6:X78)</x:f>
        <x:v>356178284.2862058</x:v>
      </x:c>
      <x:c r="Y79" s="15" t="n">
        <x:f>SUM(Y6:Y78)</x:f>
        <x:v>2725179712.2988014</x:v>
      </x:c>
      <x:c r="Z79" s="15" t="n">
        <x:f>SUM(Z6:Z78)</x:f>
        <x:v>85206288.97198918</x:v>
      </x:c>
      <x:c r="AA79" s="15" t="n">
        <x:f>SUM(AA6:AA78)</x:f>
        <x:v>511066819.1968206</x:v>
      </x:c>
      <x:c r="AB79" s="15" t="n">
        <x:f>SUM(AB6:AB78)</x:f>
        <x:v>4825169031.095346</x:v>
      </x:c>
      <x:c r="AC79" s="15" t="n">
        <x:f>SUM(AC6:AC78)</x:f>
        <x:v>967498065.3878791</x:v>
      </x:c>
      <x:c r="AD79" s="15" t="n">
        <x:f>SUM(AD6:AD78)</x:f>
        <x:v>2705688079.7080016</x:v>
      </x:c>
      <x:c r="AE79" s="15" t="n">
        <x:f>SUM(AE6:AE78)</x:f>
        <x:v>2248057105.7135344</x:v>
      </x:c>
      <x:c r="AF79" s="15" t="n">
        <x:f>SUM(AF6:AF78)</x:f>
        <x:v>2647414864.1664076</x:v>
      </x:c>
      <x:c r="AG79" s="15" t="n">
        <x:f>SUM(AG6:AG78)</x:f>
        <x:v>272914968.59743166</x:v>
      </x:c>
      <x:c r="AH79" s="15" t="n">
        <x:f>SUM(AH6:AH78)</x:f>
        <x:v>699402882.0849159</x:v>
      </x:c>
      <x:c r="AI79" s="15" t="n">
        <x:f>SUM(AI6:AI78)</x:f>
        <x:v>991373972.2984407</x:v>
      </x:c>
      <x:c r="AJ79" s="15" t="n">
        <x:f>SUM(AJ6:AJ78)</x:f>
        <x:v>172691715.0198917</x:v>
      </x:c>
      <x:c r="AK79" s="15" t="n">
        <x:f>SUM(AK6:AK78)</x:f>
        <x:v>1722207760.0184906</x:v>
      </x:c>
      <x:c r="AL79" s="15" t="n">
        <x:f>SUM(AL6:AL78)</x:f>
        <x:v>114964896.61219504</x:v>
      </x:c>
      <x:c r="AM79" s="15" t="n">
        <x:f>SUM(AM6:AM78)</x:f>
        <x:v>138104489.92425624</x:v>
      </x:c>
      <x:c r="AN79" s="15" t="n">
        <x:f>SUM(AN6:AN78)</x:f>
        <x:v>266256446.7313327</x:v>
      </x:c>
      <x:c r="AO79" s="15" t="n">
        <x:f>SUM(AO6:AO78)</x:f>
        <x:v>635100782.2918403</x:v>
      </x:c>
      <x:c r="AP79" s="15" t="n">
        <x:f>SUM(AP6:AP78)</x:f>
        <x:v>1056680408.5944548</x:v>
      </x:c>
      <x:c r="AQ79" s="15" t="n">
        <x:f>SUM(AQ6:AQ78)</x:f>
        <x:v>433386598.03414464</x:v>
      </x:c>
      <x:c r="AR79" s="15" t="n">
        <x:f>SUM(AR6:AR78)</x:f>
        <x:v>145192817.47837988</x:v>
      </x:c>
      <x:c r="AS79" s="15" t="n">
        <x:f>SUM(AS6:AS78)</x:f>
        <x:v>1155547772.6310327</x:v>
      </x:c>
      <x:c r="AT79" s="15" t="n">
        <x:f>SUM(AT6:AT78)</x:f>
        <x:v>939200305.2809545</x:v>
      </x:c>
      <x:c r="AU79" s="15" t="n">
        <x:f>SUM(AU6:AU78)</x:f>
        <x:v>441054481.9527359</x:v>
      </x:c>
      <x:c r="AV79" s="15" t="n">
        <x:f>SUM(AV6:AV78)</x:f>
        <x:v>387287348.3935381</x:v>
      </x:c>
      <x:c r="AW79" s="15" t="n">
        <x:f>SUM(AW6:AW78)</x:f>
        <x:v>30047802.1346573</x:v>
      </x:c>
      <x:c r="AX79" s="15" t="n">
        <x:f>SUM(AX6:AX78)</x:f>
        <x:v>231340042.7373128</x:v>
      </x:c>
      <x:c r="AY79" s="15" t="n">
        <x:f>SUM(AY6:AY78)</x:f>
        <x:v>110663102.79701157</x:v>
      </x:c>
      <x:c r="AZ79" s="15" t="n">
        <x:f>SUM(AZ6:AZ78)</x:f>
        <x:v>247388737.11632153</x:v>
      </x:c>
      <x:c r="BA79" s="15" t="n">
        <x:f>SUM(BA6:BA78)</x:f>
        <x:v>253498485.28428525</x:v>
      </x:c>
      <x:c r="BB79" s="15" t="n">
        <x:f>SUM(BB6:BB78)</x:f>
        <x:v>388641466.4631746</x:v>
      </x:c>
      <x:c r="BC79" s="15" t="n">
        <x:f>SUM(BC6:BC78)</x:f>
        <x:v>515451829.2148513</x:v>
      </x:c>
      <x:c r="BD79" s="15" t="n">
        <x:f>SUM(BD6:BD78)</x:f>
        <x:v>1799693756.2440286</x:v>
      </x:c>
      <x:c r="BE79" s="15" t="n">
        <x:f>SUM(BE6:BE78)</x:f>
        <x:v>1014677766.5841659</x:v>
      </x:c>
      <x:c r="BF79" s="15" t="n">
        <x:f>SUM(BF6:BF78)</x:f>
        <x:v>1070536368.3774637</x:v>
      </x:c>
      <x:c r="BG79" s="15" t="n">
        <x:f>SUM(BG6:BG78)</x:f>
        <x:v>72200225.97511294</x:v>
      </x:c>
      <x:c r="BH79" s="15" t="n">
        <x:f>SUM(BH6:BH78)</x:f>
        <x:v>394741297.663187</x:v>
      </x:c>
      <x:c r="BI79" s="15" t="n">
        <x:f>SUM(BI6:BI78)</x:f>
        <x:v>127963987.7008856</x:v>
      </x:c>
      <x:c r="BJ79" s="15" t="n">
        <x:f>SUM(BJ6:BJ78)</x:f>
        <x:v>156508849.71756312</x:v>
      </x:c>
      <x:c r="BK79" s="15" t="n">
        <x:f>SUM(BK6:BK78)</x:f>
        <x:v>60130499.2583921</x:v>
      </x:c>
      <x:c r="BL79" s="15" t="n">
        <x:f>SUM(BL6:BL78)</x:f>
        <x:v>109556410.55534796</x:v>
      </x:c>
      <x:c r="BM79" s="15" t="n">
        <x:f>SUM(BM6:BM78)</x:f>
        <x:v>15703634.439148564</x:v>
      </x:c>
      <x:c r="BN79" s="15" t="n">
        <x:f>SUM(BN6:BN78)</x:f>
        <x:v>7755515400.008977</x:v>
      </x:c>
      <x:c r="BO79" s="15" t="n">
        <x:f>SUM(BO6:BO78)</x:f>
        <x:v>16659364806.724644</x:v>
      </x:c>
      <x:c r="BP79" s="15" t="n">
        <x:f>SUM(BP6:BP78)</x:f>
        <x:v>-321052811.9305102</x:v>
      </x:c>
      <x:c r="BQ79" s="15" t="n">
        <x:f>SUM(BQ6:BQ78)</x:f>
        <x:v>2997641669.898267</x:v>
      </x:c>
      <x:c r="BR79" s="15" t="n">
        <x:f>SUM(BR6:BR78)</x:f>
        <x:v>1762053126.8570008</x:v>
      </x:c>
      <x:c r="BS79" s="15" t="n">
        <x:f>SUM(BS6:BS78)</x:f>
        <x:v>24414880206.73362</x:v>
      </x:c>
      <x:c r="BT79" s="15" t="n">
        <x:f>SUM(BT6:BT78)</x:f>
        <x:v>4438641984.824758</x:v>
      </x:c>
      <x:c r="BU79" s="15" t="n">
        <x:f>SUM(BU6:BU78)</x:f>
        <x:v>9370472231.100958</x:v>
      </x:c>
      <x:c r="BV79" s="15" t="n">
        <x:f>SUM(BV6:BV78)</x:f>
        <x:v>9203376441.842588</x:v>
      </x:c>
      <x:c r="BW79" s="15" t="n">
        <x:f>SUM(BW6:BW78)</x:f>
        <x:v>137837491208.15353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Macro SAM view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 t="str">
        <x:v>Thousand TRY; SECTORS aggregates 64 sectors for this display only.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8" t="str">
        <x:v>Account</x:v>
      </x:c>
      <x:c r="B5" s="8" t="str">
        <x:v>SECTORS</x:v>
      </x:c>
      <x:c r="C5" s="8" t="str">
        <x:v>LAB</x:v>
      </x:c>
      <x:c r="D5" s="8" t="str">
        <x:v>CAP</x:v>
      </x:c>
      <x:c r="E5" s="8" t="str">
        <x:v>PTAX</x:v>
      </x:c>
      <x:c r="F5" s="8" t="str">
        <x:v>CTAX</x:v>
      </x:c>
      <x:c r="G5" s="8" t="str">
        <x:v>DTAX</x:v>
      </x:c>
      <x:c r="H5" s="8" t="str">
        <x:v>HOH</x:v>
      </x:c>
      <x:c r="I5" s="8" t="str">
        <x:v>GOV</x:v>
      </x:c>
      <x:c r="J5" s="8" t="str">
        <x:v>INV</x:v>
      </x:c>
      <x:c r="K5" s="8" t="str">
        <x:v>EXT</x:v>
      </x:c>
      <x:c r="L5" s="8" t="str">
        <x:v>TOTAL</x:v>
      </x:c>
    </x:row>
    <x:row r="6" ht="22" customHeight="1">
      <x:c r="A6" s="2" t="str">
        <x:v>SECTORS</x:v>
      </x:c>
      <x:c r="B6" s="9" t="n">
        <x:f>SUM('SAM_73'!B6:BM69)</x:f>
        <x:v>27707496957.037243</x:v>
      </x:c>
      <x:c r="C6" s="9" t="n">
        <x:f>SUM('SAM_73'!BN6:BN69)</x:f>
        <x:v>0</x:v>
      </x:c>
      <x:c r="D6" s="9" t="n">
        <x:f>SUM('SAM_73'!BO6:BO69)</x:f>
        <x:v>0</x:v>
      </x:c>
      <x:c r="E6" s="9" t="n">
        <x:f>SUM('SAM_73'!BP6:BP69)</x:f>
        <x:v>0</x:v>
      </x:c>
      <x:c r="F6" s="9" t="n">
        <x:f>SUM('SAM_73'!BQ6:BQ69)</x:f>
        <x:v>0</x:v>
      </x:c>
      <x:c r="G6" s="9" t="n">
        <x:f>SUM('SAM_73'!BR6:BR69)</x:f>
        <x:v>0</x:v>
      </x:c>
      <x:c r="H6" s="9" t="n">
        <x:f>SUM('SAM_73'!BS6:BS69)</x:f>
        <x:v>14642707302.152277</x:v>
      </x:c>
      <x:c r="I6" s="9" t="n">
        <x:f>SUM('SAM_73'!BT6:BT69)</x:f>
        <x:v>3488720027.242705</x:v>
      </x:c>
      <x:c r="J6" s="9" t="n">
        <x:f>SUM('SAM_73'!BU6:BU69)</x:f>
        <x:v>8418245551.261778</x:v>
      </x:c>
      <x:c r="K6" s="9" t="n">
        <x:f>SUM('SAM_73'!BV6:BV69)</x:f>
        <x:v>7299428314.399335</x:v>
      </x:c>
      <x:c r="L6" s="9" t="n">
        <x:f>SUM(B6:K6)</x:f>
        <x:v>61556598152.093346</x:v>
      </x:c>
    </x:row>
    <x:row r="7" ht="22" customHeight="1">
      <x:c r="A7" s="2" t="str">
        <x:v>LAB</x:v>
      </x:c>
      <x:c r="B7" s="9" t="n">
        <x:f>SUM('SAM_73'!B70:BM70)</x:f>
        <x:v>7755515400.008977</x:v>
      </x:c>
      <x:c r="C7" s="9" t="n">
        <x:f>SUM('SAM_73'!BN70:BN70)</x:f>
        <x:v>0</x:v>
      </x:c>
      <x:c r="D7" s="9" t="n">
        <x:f>SUM('SAM_73'!BO70:BO70)</x:f>
        <x:v>0</x:v>
      </x:c>
      <x:c r="E7" s="9" t="n">
        <x:f>SUM('SAM_73'!BP70:BP70)</x:f>
        <x:v>0</x:v>
      </x:c>
      <x:c r="F7" s="9" t="n">
        <x:f>SUM('SAM_73'!BQ70:BQ70)</x:f>
        <x:v>0</x:v>
      </x:c>
      <x:c r="G7" s="9" t="n">
        <x:f>SUM('SAM_73'!BR70:BR70)</x:f>
        <x:v>0</x:v>
      </x:c>
      <x:c r="H7" s="9" t="n">
        <x:f>SUM('SAM_73'!BS70:BS70)</x:f>
        <x:v>0</x:v>
      </x:c>
      <x:c r="I7" s="9" t="n">
        <x:f>SUM('SAM_73'!BT70:BT70)</x:f>
        <x:v>0</x:v>
      </x:c>
      <x:c r="J7" s="9" t="n">
        <x:f>SUM('SAM_73'!BU70:BU70)</x:f>
        <x:v>0</x:v>
      </x:c>
      <x:c r="K7" s="9" t="n">
        <x:f>SUM('SAM_73'!BV70:BV70)</x:f>
        <x:v>0</x:v>
      </x:c>
      <x:c r="L7" s="9" t="n">
        <x:f>SUM(B7:K7)</x:f>
        <x:v>7755515400.008977</x:v>
      </x:c>
    </x:row>
    <x:row r="8" ht="22" customHeight="1">
      <x:c r="A8" s="2" t="str">
        <x:v>CAP</x:v>
      </x:c>
      <x:c r="B8" s="9" t="n">
        <x:f>SUM('SAM_73'!B71:BM71)</x:f>
        <x:v>16659364806.724644</x:v>
      </x:c>
      <x:c r="C8" s="9" t="n">
        <x:f>SUM('SAM_73'!BN71:BN71)</x:f>
        <x:v>0</x:v>
      </x:c>
      <x:c r="D8" s="9" t="n">
        <x:f>SUM('SAM_73'!BO71:BO71)</x:f>
        <x:v>0</x:v>
      </x:c>
      <x:c r="E8" s="9" t="n">
        <x:f>SUM('SAM_73'!BP71:BP71)</x:f>
        <x:v>0</x:v>
      </x:c>
      <x:c r="F8" s="9" t="n">
        <x:f>SUM('SAM_73'!BQ71:BQ71)</x:f>
        <x:v>0</x:v>
      </x:c>
      <x:c r="G8" s="9" t="n">
        <x:f>SUM('SAM_73'!BR71:BR71)</x:f>
        <x:v>0</x:v>
      </x:c>
      <x:c r="H8" s="9" t="n">
        <x:f>SUM('SAM_73'!BS71:BS71)</x:f>
        <x:v>0</x:v>
      </x:c>
      <x:c r="I8" s="9" t="n">
        <x:f>SUM('SAM_73'!BT71:BT71)</x:f>
        <x:v>0</x:v>
      </x:c>
      <x:c r="J8" s="9" t="n">
        <x:f>SUM('SAM_73'!BU71:BU71)</x:f>
        <x:v>0</x:v>
      </x:c>
      <x:c r="K8" s="9" t="n">
        <x:f>SUM('SAM_73'!BV71:BV71)</x:f>
        <x:v>0</x:v>
      </x:c>
      <x:c r="L8" s="9" t="n">
        <x:f>SUM(B8:K8)</x:f>
        <x:v>16659364806.724644</x:v>
      </x:c>
    </x:row>
    <x:row r="9" ht="22" customHeight="1">
      <x:c r="A9" s="2" t="str">
        <x:v>PTAX</x:v>
      </x:c>
      <x:c r="B9" s="9" t="n">
        <x:f>SUM('SAM_73'!B72:BM72)</x:f>
        <x:v>-321052811.9305102</x:v>
      </x:c>
      <x:c r="C9" s="9" t="n">
        <x:f>SUM('SAM_73'!BN72:BN72)</x:f>
        <x:v>0</x:v>
      </x:c>
      <x:c r="D9" s="9" t="n">
        <x:f>SUM('SAM_73'!BO72:BO72)</x:f>
        <x:v>0</x:v>
      </x:c>
      <x:c r="E9" s="9" t="n">
        <x:f>SUM('SAM_73'!BP72:BP72)</x:f>
        <x:v>0</x:v>
      </x:c>
      <x:c r="F9" s="9" t="n">
        <x:f>SUM('SAM_73'!BQ72:BQ72)</x:f>
        <x:v>0</x:v>
      </x:c>
      <x:c r="G9" s="9" t="n">
        <x:f>SUM('SAM_73'!BR72:BR72)</x:f>
        <x:v>0</x:v>
      </x:c>
      <x:c r="H9" s="9" t="n">
        <x:f>SUM('SAM_73'!BS72:BS72)</x:f>
        <x:v>0</x:v>
      </x:c>
      <x:c r="I9" s="9" t="n">
        <x:f>SUM('SAM_73'!BT72:BT72)</x:f>
        <x:v>0</x:v>
      </x:c>
      <x:c r="J9" s="9" t="n">
        <x:f>SUM('SAM_73'!BU72:BU72)</x:f>
        <x:v>0</x:v>
      </x:c>
      <x:c r="K9" s="9" t="n">
        <x:f>SUM('SAM_73'!BV72:BV72)</x:f>
        <x:v>0</x:v>
      </x:c>
      <x:c r="L9" s="9" t="n">
        <x:f>SUM(B9:K9)</x:f>
        <x:v>-321052811.9305102</x:v>
      </x:c>
    </x:row>
    <x:row r="10" ht="22" customHeight="1">
      <x:c r="A10" s="2" t="str">
        <x:v>CTAX</x:v>
      </x:c>
      <x:c r="B10" s="9" t="n">
        <x:f>SUM('SAM_73'!B73:BM73)</x:f>
        <x:v>551897358.4104856</x:v>
      </x:c>
      <x:c r="C10" s="9" t="n">
        <x:f>SUM('SAM_73'!BN73:BN73)</x:f>
        <x:v>0</x:v>
      </x:c>
      <x:c r="D10" s="9" t="n">
        <x:f>SUM('SAM_73'!BO73:BO73)</x:f>
        <x:v>0</x:v>
      </x:c>
      <x:c r="E10" s="9" t="n">
        <x:f>SUM('SAM_73'!BP73:BP73)</x:f>
        <x:v>0</x:v>
      </x:c>
      <x:c r="F10" s="9" t="n">
        <x:f>SUM('SAM_73'!BQ73:BQ73)</x:f>
        <x:v>0</x:v>
      </x:c>
      <x:c r="G10" s="9" t="n">
        <x:f>SUM('SAM_73'!BR73:BR73)</x:f>
        <x:v>0</x:v>
      </x:c>
      <x:c r="H10" s="9" t="n">
        <x:f>SUM('SAM_73'!BS73:BS73)</x:f>
        <x:v>1396394534.7647357</x:v>
      </x:c>
      <x:c r="I10" s="9" t="n">
        <x:f>SUM('SAM_73'!BT73:BT73)</x:f>
        <x:v>97123096.88386586</x:v>
      </x:c>
      <x:c r="J10" s="9" t="n">
        <x:f>SUM('SAM_73'!BU73:BU73)</x:f>
        <x:v>952226679.8391796</x:v>
      </x:c>
      <x:c r="K10" s="9" t="n">
        <x:f>SUM('SAM_73'!BV73:BV73)</x:f>
        <x:v>0</x:v>
      </x:c>
      <x:c r="L10" s="9" t="n">
        <x:f>SUM(B10:K10)</x:f>
        <x:v>2997641669.898267</x:v>
      </x:c>
    </x:row>
    <x:row r="11" ht="22" customHeight="1">
      <x:c r="A11" s="2" t="str">
        <x:v>DTAX</x:v>
      </x:c>
      <x:c r="B11" s="9" t="n">
        <x:f>SUM('SAM_73'!B74:BM74)</x:f>
        <x:v>0</x:v>
      </x:c>
      <x:c r="C11" s="9" t="n">
        <x:f>SUM('SAM_73'!BN74:BN74)</x:f>
        <x:v>0</x:v>
      </x:c>
      <x:c r="D11" s="9" t="n">
        <x:f>SUM('SAM_73'!BO74:BO74)</x:f>
        <x:v>0</x:v>
      </x:c>
      <x:c r="E11" s="9" t="n">
        <x:f>SUM('SAM_73'!BP74:BP74)</x:f>
        <x:v>0</x:v>
      </x:c>
      <x:c r="F11" s="9" t="n">
        <x:f>SUM('SAM_73'!BQ74:BQ74)</x:f>
        <x:v>0</x:v>
      </x:c>
      <x:c r="G11" s="9" t="n">
        <x:f>SUM('SAM_73'!BR74:BR74)</x:f>
        <x:v>0</x:v>
      </x:c>
      <x:c r="H11" s="9" t="n">
        <x:f>SUM('SAM_73'!BS74:BS74)</x:f>
        <x:v>1762053126.8570008</x:v>
      </x:c>
      <x:c r="I11" s="9" t="n">
        <x:f>SUM('SAM_73'!BT74:BT74)</x:f>
        <x:v>0</x:v>
      </x:c>
      <x:c r="J11" s="9" t="n">
        <x:f>SUM('SAM_73'!BU74:BU74)</x:f>
        <x:v>0</x:v>
      </x:c>
      <x:c r="K11" s="9" t="n">
        <x:f>SUM('SAM_73'!BV74:BV74)</x:f>
        <x:v>0</x:v>
      </x:c>
      <x:c r="L11" s="9" t="n">
        <x:f>SUM(B11:K11)</x:f>
        <x:v>1762053126.8570008</x:v>
      </x:c>
    </x:row>
    <x:row r="12" ht="22" customHeight="1">
      <x:c r="A12" s="2" t="str">
        <x:v>HOH</x:v>
      </x:c>
      <x:c r="B12" s="9" t="n">
        <x:f>SUM('SAM_73'!B75:BM75)</x:f>
        <x:v>0</x:v>
      </x:c>
      <x:c r="C12" s="9" t="n">
        <x:f>SUM('SAM_73'!BN75:BN75)</x:f>
        <x:v>7755515400.008977</x:v>
      </x:c>
      <x:c r="D12" s="9" t="n">
        <x:f>SUM('SAM_73'!BO75:BO75)</x:f>
        <x:v>16659364806.724644</x:v>
      </x:c>
      <x:c r="E12" s="9" t="n">
        <x:f>SUM('SAM_73'!BP75:BP75)</x:f>
        <x:v>0</x:v>
      </x:c>
      <x:c r="F12" s="9" t="n">
        <x:f>SUM('SAM_73'!BQ75:BQ75)</x:f>
        <x:v>0</x:v>
      </x:c>
      <x:c r="G12" s="9" t="n">
        <x:f>SUM('SAM_73'!BR75:BR75)</x:f>
        <x:v>0</x:v>
      </x:c>
      <x:c r="H12" s="9" t="n">
        <x:f>SUM('SAM_73'!BS75:BS75)</x:f>
        <x:v>0</x:v>
      </x:c>
      <x:c r="I12" s="9" t="n">
        <x:f>SUM('SAM_73'!BT75:BT75)</x:f>
        <x:v>0</x:v>
      </x:c>
      <x:c r="J12" s="9" t="n">
        <x:f>SUM('SAM_73'!BU75:BU75)</x:f>
        <x:v>0</x:v>
      </x:c>
      <x:c r="K12" s="9" t="n">
        <x:f>SUM('SAM_73'!BV75:BV75)</x:f>
        <x:v>0</x:v>
      </x:c>
      <x:c r="L12" s="9" t="n">
        <x:f>SUM(B12:K12)</x:f>
        <x:v>24414880206.73362</x:v>
      </x:c>
    </x:row>
    <x:row r="13" ht="22" customHeight="1">
      <x:c r="A13" s="2" t="str">
        <x:v>GOV</x:v>
      </x:c>
      <x:c r="B13" s="9" t="n">
        <x:f>SUM('SAM_73'!B76:BM76)</x:f>
        <x:v>0</x:v>
      </x:c>
      <x:c r="C13" s="9" t="n">
        <x:f>SUM('SAM_73'!BN76:BN76)</x:f>
        <x:v>0</x:v>
      </x:c>
      <x:c r="D13" s="9" t="n">
        <x:f>SUM('SAM_73'!BO76:BO76)</x:f>
        <x:v>0</x:v>
      </x:c>
      <x:c r="E13" s="9" t="n">
        <x:f>SUM('SAM_73'!BP76:BP76)</x:f>
        <x:v>-321052811.9305102</x:v>
      </x:c>
      <x:c r="F13" s="9" t="n">
        <x:f>SUM('SAM_73'!BQ76:BQ76)</x:f>
        <x:v>2997641669.898267</x:v>
      </x:c>
      <x:c r="G13" s="9" t="n">
        <x:f>SUM('SAM_73'!BR76:BR76)</x:f>
        <x:v>1762053126.8570008</x:v>
      </x:c>
      <x:c r="H13" s="9" t="n">
        <x:f>SUM('SAM_73'!BS76:BS76)</x:f>
        <x:v>0</x:v>
      </x:c>
      <x:c r="I13" s="9" t="n">
        <x:f>SUM('SAM_73'!BT76:BT76)</x:f>
        <x:v>0</x:v>
      </x:c>
      <x:c r="J13" s="9" t="n">
        <x:f>SUM('SAM_73'!BU76:BU76)</x:f>
        <x:v>0</x:v>
      </x:c>
      <x:c r="K13" s="9" t="n">
        <x:f>SUM('SAM_73'!BV76:BV76)</x:f>
        <x:v>0</x:v>
      </x:c>
      <x:c r="L13" s="9" t="n">
        <x:f>SUM(B13:K13)</x:f>
        <x:v>4438641984.824758</x:v>
      </x:c>
    </x:row>
    <x:row r="14" ht="22" customHeight="1">
      <x:c r="A14" s="2" t="str">
        <x:v>INV</x:v>
      </x:c>
      <x:c r="B14" s="9" t="n">
        <x:f>SUM('SAM_73'!B77:BM77)</x:f>
        <x:v>0</x:v>
      </x:c>
      <x:c r="C14" s="9" t="n">
        <x:f>SUM('SAM_73'!BN77:BN77)</x:f>
        <x:v>0</x:v>
      </x:c>
      <x:c r="D14" s="9" t="n">
        <x:f>SUM('SAM_73'!BO77:BO77)</x:f>
        <x:v>0</x:v>
      </x:c>
      <x:c r="E14" s="9" t="n">
        <x:f>SUM('SAM_73'!BP77:BP77)</x:f>
        <x:v>0</x:v>
      </x:c>
      <x:c r="F14" s="9" t="n">
        <x:f>SUM('SAM_73'!BQ77:BQ77)</x:f>
        <x:v>0</x:v>
      </x:c>
      <x:c r="G14" s="9" t="n">
        <x:f>SUM('SAM_73'!BR77:BR77)</x:f>
        <x:v>0</x:v>
      </x:c>
      <x:c r="H14" s="9" t="n">
        <x:f>SUM('SAM_73'!BS77:BS77)</x:f>
        <x:v>6613725242.959606</x:v>
      </x:c>
      <x:c r="I14" s="9" t="n">
        <x:f>SUM('SAM_73'!BT77:BT77)</x:f>
        <x:v>852798860.6981869</x:v>
      </x:c>
      <x:c r="J14" s="9" t="n">
        <x:f>SUM('SAM_73'!BU77:BU77)</x:f>
        <x:v>0</x:v>
      </x:c>
      <x:c r="K14" s="9" t="n">
        <x:f>SUM('SAM_73'!BV77:BV77)</x:f>
        <x:v>1903948127.4432535</x:v>
      </x:c>
      <x:c r="L14" s="9" t="n">
        <x:f>SUM(B14:K14)</x:f>
        <x:v>9370472231.101048</x:v>
      </x:c>
    </x:row>
    <x:row r="15" ht="22" customHeight="1">
      <x:c r="A15" s="2" t="str">
        <x:v>EXT</x:v>
      </x:c>
      <x:c r="B15" s="9" t="n">
        <x:f>SUM('SAM_73'!B78:BM78)</x:f>
        <x:v>9203376441.842588</x:v>
      </x:c>
      <x:c r="C15" s="9" t="n">
        <x:f>SUM('SAM_73'!BN78:BN78)</x:f>
        <x:v>0</x:v>
      </x:c>
      <x:c r="D15" s="9" t="n">
        <x:f>SUM('SAM_73'!BO78:BO78)</x:f>
        <x:v>0</x:v>
      </x:c>
      <x:c r="E15" s="9" t="n">
        <x:f>SUM('SAM_73'!BP78:BP78)</x:f>
        <x:v>0</x:v>
      </x:c>
      <x:c r="F15" s="9" t="n">
        <x:f>SUM('SAM_73'!BQ78:BQ78)</x:f>
        <x:v>0</x:v>
      </x:c>
      <x:c r="G15" s="9" t="n">
        <x:f>SUM('SAM_73'!BR78:BR78)</x:f>
        <x:v>0</x:v>
      </x:c>
      <x:c r="H15" s="9" t="n">
        <x:f>SUM('SAM_73'!BS78:BS78)</x:f>
        <x:v>0</x:v>
      </x:c>
      <x:c r="I15" s="9" t="n">
        <x:f>SUM('SAM_73'!BT78:BT78)</x:f>
        <x:v>0</x:v>
      </x:c>
      <x:c r="J15" s="9" t="n">
        <x:f>SUM('SAM_73'!BU78:BU78)</x:f>
        <x:v>0</x:v>
      </x:c>
      <x:c r="K15" s="9" t="n">
        <x:f>SUM('SAM_73'!BV78:BV78)</x:f>
        <x:v>0</x:v>
      </x:c>
      <x:c r="L15" s="9" t="n">
        <x:f>SUM(B15:K15)</x:f>
        <x:v>9203376441.842588</x:v>
      </x:c>
    </x:row>
    <x:row r="16" ht="22" customHeight="1">
      <x:c r="A16" s="14" t="str">
        <x:v>TOTAL</x:v>
      </x:c>
      <x:c r="B16" s="15" t="n">
        <x:f>SUM(B6:B15)</x:f>
        <x:v>61556598152.09342</x:v>
      </x:c>
      <x:c r="C16" s="15" t="n">
        <x:f>SUM(C6:C15)</x:f>
        <x:v>7755515400.008977</x:v>
      </x:c>
      <x:c r="D16" s="15" t="n">
        <x:f>SUM(D6:D15)</x:f>
        <x:v>16659364806.724644</x:v>
      </x:c>
      <x:c r="E16" s="15" t="n">
        <x:f>SUM(E6:E15)</x:f>
        <x:v>-321052811.9305102</x:v>
      </x:c>
      <x:c r="F16" s="15" t="n">
        <x:f>SUM(F6:F15)</x:f>
        <x:v>2997641669.898267</x:v>
      </x:c>
      <x:c r="G16" s="15" t="n">
        <x:f>SUM(G6:G15)</x:f>
        <x:v>1762053126.8570008</x:v>
      </x:c>
      <x:c r="H16" s="15" t="n">
        <x:f>SUM(H6:H15)</x:f>
        <x:v>24414880206.73362</x:v>
      </x:c>
      <x:c r="I16" s="15" t="n">
        <x:f>SUM(I6:I15)</x:f>
        <x:v>4438641984.824758</x:v>
      </x:c>
      <x:c r="J16" s="15" t="n">
        <x:f>SUM(J6:J15)</x:f>
        <x:v>9370472231.100958</x:v>
      </x:c>
      <x:c r="K16" s="15" t="n">
        <x:f>SUM(K6:K15)</x:f>
        <x:v>9203376441.842588</x:v>
      </x:c>
      <x:c r="L16" s="15" t="n">
        <x:f>SUM(B16:K16)</x:f>
        <x:v>137837491208.1537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70" hidden="0" customWidth="1"/>
    <x:col min="5" max="5" width="14" hidden="0" customWidth="1"/>
    <x:col min="6" max="6" width="90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Account dictionary</x:v>
      </x:c>
      <x:c r="B2" s="2"/>
      <x:c r="C2" s="2"/>
      <x:c r="D2" s="2"/>
      <x:c r="E2" s="2"/>
      <x:c r="F2" s="2"/>
    </x:row>
    <x:row r="3" ht="22" customHeight="1">
      <x:c r="A3" s="4" t="str">
        <x:v>S00–S63 correspond to source sector codes 0–63. Other identifiers name institutional accounts.</x:v>
      </x:c>
      <x:c r="B3" s="2"/>
      <x:c r="C3" s="2"/>
      <x:c r="D3" s="2"/>
      <x:c r="E3" s="2"/>
      <x:c r="F3" s="2"/>
    </x:row>
    <x:row r="4" ht="22" customHeight="1">
      <x:c r="A4" s="2"/>
      <x:c r="B4" s="2"/>
      <x:c r="C4" s="2"/>
      <x:c r="D4" s="2"/>
      <x:c r="E4" s="2"/>
      <x:c r="F4" s="2"/>
    </x:row>
    <x:row r="5" ht="36" customHeight="1">
      <x:c r="A5" s="8" t="str">
        <x:v>Account</x:v>
      </x:c>
      <x:c r="B5" s="8" t="str">
        <x:v>Previous code</x:v>
      </x:c>
      <x:c r="C5" s="8" t="str">
        <x:v>NACE</x:v>
      </x:c>
      <x:c r="D5" s="8" t="str">
        <x:v>Name</x:v>
      </x:c>
      <x:c r="E5" s="8" t="str">
        <x:v>Group</x:v>
      </x:c>
      <x:c r="F5" s="8" t="str">
        <x:v>Scope</x:v>
      </x:c>
    </x:row>
    <x:row r="6" ht="44" customHeight="1">
      <x:c r="A6" s="2" t="str">
        <x:v>S00</x:v>
      </x:c>
      <x:c r="B6" s="2" t="n">
        <x:v>0</x:v>
      </x:c>
      <x:c r="C6" s="2" t="str">
        <x:v>A01</x:v>
      </x:c>
      <x:c r="D6" s="18" t="str">
        <x:v>Crop and animal production, hunting and related services</x:v>
      </x:c>
      <x:c r="E6" s="18" t="str">
        <x:v>Sector</x:v>
      </x:c>
      <x:c r="F6" s="18" t="str">
        <x:v>IO Total_Supply: rows/columns 0–63</x:v>
      </x:c>
    </x:row>
    <x:row r="7" ht="44" customHeight="1">
      <x:c r="A7" s="2" t="str">
        <x:v>S01</x:v>
      </x:c>
      <x:c r="B7" s="2" t="n">
        <x:v>1</x:v>
      </x:c>
      <x:c r="C7" s="2" t="str">
        <x:v>A02</x:v>
      </x:c>
      <x:c r="D7" s="18" t="str">
        <x:v>Forestry and logging</x:v>
      </x:c>
      <x:c r="E7" s="18" t="str">
        <x:v>Sector</x:v>
      </x:c>
      <x:c r="F7" s="18" t="str">
        <x:v>IO Total_Supply: rows/columns 0–63</x:v>
      </x:c>
    </x:row>
    <x:row r="8" ht="44" customHeight="1">
      <x:c r="A8" s="2" t="str">
        <x:v>S02</x:v>
      </x:c>
      <x:c r="B8" s="2" t="n">
        <x:v>2</x:v>
      </x:c>
      <x:c r="C8" s="2" t="str">
        <x:v>A03</x:v>
      </x:c>
      <x:c r="D8" s="18" t="str">
        <x:v>Fishing and aquaculture</x:v>
      </x:c>
      <x:c r="E8" s="18" t="str">
        <x:v>Sector</x:v>
      </x:c>
      <x:c r="F8" s="18" t="str">
        <x:v>IO Total_Supply: rows/columns 0–63</x:v>
      </x:c>
    </x:row>
    <x:row r="9" ht="44" customHeight="1">
      <x:c r="A9" s="2" t="str">
        <x:v>S03</x:v>
      </x:c>
      <x:c r="B9" s="2" t="n">
        <x:v>3</x:v>
      </x:c>
      <x:c r="C9" s="2" t="str">
        <x:v>B</x:v>
      </x:c>
      <x:c r="D9" s="18" t="str">
        <x:v>Mining and quarrying products/services</x:v>
      </x:c>
      <x:c r="E9" s="18" t="str">
        <x:v>Sector</x:v>
      </x:c>
      <x:c r="F9" s="18" t="str">
        <x:v>IO Total_Supply: rows/columns 0–63</x:v>
      </x:c>
    </x:row>
    <x:row r="10" ht="44" customHeight="1">
      <x:c r="A10" s="2" t="str">
        <x:v>S04</x:v>
      </x:c>
      <x:c r="B10" s="2" t="n">
        <x:v>4</x:v>
      </x:c>
      <x:c r="C10" s="2" t="str">
        <x:v>C10-C12</x:v>
      </x:c>
      <x:c r="D10" s="18" t="str">
        <x:v>Food products, beverages and tobacco</x:v>
      </x:c>
      <x:c r="E10" s="18" t="str">
        <x:v>Sector</x:v>
      </x:c>
      <x:c r="F10" s="18" t="str">
        <x:v>IO Total_Supply: rows/columns 0–63</x:v>
      </x:c>
    </x:row>
    <x:row r="11" ht="44" customHeight="1">
      <x:c r="A11" s="2" t="str">
        <x:v>S05</x:v>
      </x:c>
      <x:c r="B11" s="2" t="n">
        <x:v>5</x:v>
      </x:c>
      <x:c r="C11" s="2" t="str">
        <x:v>C13-C15</x:v>
      </x:c>
      <x:c r="D11" s="18" t="str">
        <x:v>Textiles, wearing apparel and leather products</x:v>
      </x:c>
      <x:c r="E11" s="18" t="str">
        <x:v>Sector</x:v>
      </x:c>
      <x:c r="F11" s="18" t="str">
        <x:v>IO Total_Supply: rows/columns 0–63</x:v>
      </x:c>
    </x:row>
    <x:row r="12" ht="44" customHeight="1">
      <x:c r="A12" s="2" t="str">
        <x:v>S06</x:v>
      </x:c>
      <x:c r="B12" s="2" t="n">
        <x:v>6</x:v>
      </x:c>
      <x:c r="C12" s="2" t="str">
        <x:v>C16</x:v>
      </x:c>
      <x:c r="D12" s="18" t="str">
        <x:v>Wood and products of wood and cork</x:v>
      </x:c>
      <x:c r="E12" s="18" t="str">
        <x:v>Sector</x:v>
      </x:c>
      <x:c r="F12" s="18" t="str">
        <x:v>IO Total_Supply: rows/columns 0–63</x:v>
      </x:c>
    </x:row>
    <x:row r="13" ht="44" customHeight="1">
      <x:c r="A13" s="2" t="str">
        <x:v>S07</x:v>
      </x:c>
      <x:c r="B13" s="2" t="n">
        <x:v>7</x:v>
      </x:c>
      <x:c r="C13" s="2" t="str">
        <x:v>C17</x:v>
      </x:c>
      <x:c r="D13" s="18" t="str">
        <x:v>Paper and paper products</x:v>
      </x:c>
      <x:c r="E13" s="18" t="str">
        <x:v>Sector</x:v>
      </x:c>
      <x:c r="F13" s="18" t="str">
        <x:v>IO Total_Supply: rows/columns 0–63</x:v>
      </x:c>
    </x:row>
    <x:row r="14" ht="44" customHeight="1">
      <x:c r="A14" s="2" t="str">
        <x:v>S08</x:v>
      </x:c>
      <x:c r="B14" s="2" t="n">
        <x:v>8</x:v>
      </x:c>
      <x:c r="C14" s="2" t="str">
        <x:v>C18</x:v>
      </x:c>
      <x:c r="D14" s="18" t="str">
        <x:v>Printing and reproduction of recorded media</x:v>
      </x:c>
      <x:c r="E14" s="18" t="str">
        <x:v>Sector</x:v>
      </x:c>
      <x:c r="F14" s="18" t="str">
        <x:v>IO Total_Supply: rows/columns 0–63</x:v>
      </x:c>
    </x:row>
    <x:row r="15" ht="44" customHeight="1">
      <x:c r="A15" s="2" t="str">
        <x:v>S09</x:v>
      </x:c>
      <x:c r="B15" s="2" t="n">
        <x:v>9</x:v>
      </x:c>
      <x:c r="C15" s="2" t="str">
        <x:v>C19</x:v>
      </x:c>
      <x:c r="D15" s="18" t="str">
        <x:v>Coke and refined petroleum products</x:v>
      </x:c>
      <x:c r="E15" s="18" t="str">
        <x:v>Sector</x:v>
      </x:c>
      <x:c r="F15" s="18" t="str">
        <x:v>IO Total_Supply: rows/columns 0–63</x:v>
      </x:c>
    </x:row>
    <x:row r="16" ht="44" customHeight="1">
      <x:c r="A16" s="2" t="str">
        <x:v>S10</x:v>
      </x:c>
      <x:c r="B16" s="2" t="n">
        <x:v>10</x:v>
      </x:c>
      <x:c r="C16" s="2" t="str">
        <x:v>C20</x:v>
      </x:c>
      <x:c r="D16" s="18" t="str">
        <x:v>Chemicals and chemical products</x:v>
      </x:c>
      <x:c r="E16" s="18" t="str">
        <x:v>Sector</x:v>
      </x:c>
      <x:c r="F16" s="18" t="str">
        <x:v>IO Total_Supply: rows/columns 0–63</x:v>
      </x:c>
    </x:row>
    <x:row r="17" ht="44" customHeight="1">
      <x:c r="A17" s="2" t="str">
        <x:v>S11</x:v>
      </x:c>
      <x:c r="B17" s="2" t="n">
        <x:v>11</x:v>
      </x:c>
      <x:c r="C17" s="2" t="str">
        <x:v>C21</x:v>
      </x:c>
      <x:c r="D17" s="18" t="str">
        <x:v>Basic pharmaceutical products and preparations</x:v>
      </x:c>
      <x:c r="E17" s="18" t="str">
        <x:v>Sector</x:v>
      </x:c>
      <x:c r="F17" s="18" t="str">
        <x:v>IO Total_Supply: rows/columns 0–63</x:v>
      </x:c>
    </x:row>
    <x:row r="18" ht="44" customHeight="1">
      <x:c r="A18" s="2" t="str">
        <x:v>S12</x:v>
      </x:c>
      <x:c r="B18" s="2" t="n">
        <x:v>12</x:v>
      </x:c>
      <x:c r="C18" s="2" t="str">
        <x:v>C22</x:v>
      </x:c>
      <x:c r="D18" s="18" t="str">
        <x:v>Rubber and plastic products</x:v>
      </x:c>
      <x:c r="E18" s="18" t="str">
        <x:v>Sector</x:v>
      </x:c>
      <x:c r="F18" s="18" t="str">
        <x:v>IO Total_Supply: rows/columns 0–63</x:v>
      </x:c>
    </x:row>
    <x:row r="19" ht="44" customHeight="1">
      <x:c r="A19" s="2" t="str">
        <x:v>S13</x:v>
      </x:c>
      <x:c r="B19" s="2" t="n">
        <x:v>13</x:v>
      </x:c>
      <x:c r="C19" s="2" t="str">
        <x:v>C23</x:v>
      </x:c>
      <x:c r="D19" s="18" t="str">
        <x:v>Other non-metallic mineral products</x:v>
      </x:c>
      <x:c r="E19" s="18" t="str">
        <x:v>Sector</x:v>
      </x:c>
      <x:c r="F19" s="18" t="str">
        <x:v>IO Total_Supply: rows/columns 0–63</x:v>
      </x:c>
    </x:row>
    <x:row r="20" ht="44" customHeight="1">
      <x:c r="A20" s="2" t="str">
        <x:v>S14</x:v>
      </x:c>
      <x:c r="B20" s="2" t="n">
        <x:v>14</x:v>
      </x:c>
      <x:c r="C20" s="2" t="str">
        <x:v>C24</x:v>
      </x:c>
      <x:c r="D20" s="18" t="str">
        <x:v>Basic metals</x:v>
      </x:c>
      <x:c r="E20" s="18" t="str">
        <x:v>Sector</x:v>
      </x:c>
      <x:c r="F20" s="18" t="str">
        <x:v>IO Total_Supply: rows/columns 0–63</x:v>
      </x:c>
    </x:row>
    <x:row r="21" ht="44" customHeight="1">
      <x:c r="A21" s="2" t="str">
        <x:v>S15</x:v>
      </x:c>
      <x:c r="B21" s="2" t="n">
        <x:v>15</x:v>
      </x:c>
      <x:c r="C21" s="2" t="str">
        <x:v>C25</x:v>
      </x:c>
      <x:c r="D21" s="18" t="str">
        <x:v>Fabricated metal products</x:v>
      </x:c>
      <x:c r="E21" s="18" t="str">
        <x:v>Sector</x:v>
      </x:c>
      <x:c r="F21" s="18" t="str">
        <x:v>IO Total_Supply: rows/columns 0–63</x:v>
      </x:c>
    </x:row>
    <x:row r="22" ht="44" customHeight="1">
      <x:c r="A22" s="2" t="str">
        <x:v>S16</x:v>
      </x:c>
      <x:c r="B22" s="2" t="n">
        <x:v>16</x:v>
      </x:c>
      <x:c r="C22" s="2" t="str">
        <x:v>C26</x:v>
      </x:c>
      <x:c r="D22" s="18" t="str">
        <x:v>Computer, electronic and optical products</x:v>
      </x:c>
      <x:c r="E22" s="18" t="str">
        <x:v>Sector</x:v>
      </x:c>
      <x:c r="F22" s="18" t="str">
        <x:v>IO Total_Supply: rows/columns 0–63</x:v>
      </x:c>
    </x:row>
    <x:row r="23" ht="44" customHeight="1">
      <x:c r="A23" s="2" t="str">
        <x:v>S17</x:v>
      </x:c>
      <x:c r="B23" s="2" t="n">
        <x:v>17</x:v>
      </x:c>
      <x:c r="C23" s="2" t="str">
        <x:v>C27</x:v>
      </x:c>
      <x:c r="D23" s="18" t="str">
        <x:v>Electrical equipment</x:v>
      </x:c>
      <x:c r="E23" s="18" t="str">
        <x:v>Sector</x:v>
      </x:c>
      <x:c r="F23" s="18" t="str">
        <x:v>IO Total_Supply: rows/columns 0–63</x:v>
      </x:c>
    </x:row>
    <x:row r="24" ht="44" customHeight="1">
      <x:c r="A24" s="2" t="str">
        <x:v>S18</x:v>
      </x:c>
      <x:c r="B24" s="2" t="n">
        <x:v>18</x:v>
      </x:c>
      <x:c r="C24" s="2" t="str">
        <x:v>C28</x:v>
      </x:c>
      <x:c r="D24" s="18" t="str">
        <x:v>Machinery and equipment n.e.c.</x:v>
      </x:c>
      <x:c r="E24" s="18" t="str">
        <x:v>Sector</x:v>
      </x:c>
      <x:c r="F24" s="18" t="str">
        <x:v>IO Total_Supply: rows/columns 0–63</x:v>
      </x:c>
    </x:row>
    <x:row r="25" ht="44" customHeight="1">
      <x:c r="A25" s="2" t="str">
        <x:v>S19</x:v>
      </x:c>
      <x:c r="B25" s="2" t="n">
        <x:v>19</x:v>
      </x:c>
      <x:c r="C25" s="2" t="str">
        <x:v>C29</x:v>
      </x:c>
      <x:c r="D25" s="18" t="str">
        <x:v>Motor vehicles, trailers and semi-trailers</x:v>
      </x:c>
      <x:c r="E25" s="18" t="str">
        <x:v>Sector</x:v>
      </x:c>
      <x:c r="F25" s="18" t="str">
        <x:v>IO Total_Supply: rows/columns 0–63</x:v>
      </x:c>
    </x:row>
    <x:row r="26" ht="44" customHeight="1">
      <x:c r="A26" s="2" t="str">
        <x:v>S20</x:v>
      </x:c>
      <x:c r="B26" s="2" t="n">
        <x:v>20</x:v>
      </x:c>
      <x:c r="C26" s="2" t="str">
        <x:v>C30</x:v>
      </x:c>
      <x:c r="D26" s="18" t="str">
        <x:v>Other transport equipment</x:v>
      </x:c>
      <x:c r="E26" s="18" t="str">
        <x:v>Sector</x:v>
      </x:c>
      <x:c r="F26" s="18" t="str">
        <x:v>IO Total_Supply: rows/columns 0–63</x:v>
      </x:c>
    </x:row>
    <x:row r="27" ht="44" customHeight="1">
      <x:c r="A27" s="2" t="str">
        <x:v>S21</x:v>
      </x:c>
      <x:c r="B27" s="2" t="n">
        <x:v>21</x:v>
      </x:c>
      <x:c r="C27" s="2" t="str">
        <x:v>C31_C32</x:v>
      </x:c>
      <x:c r="D27" s="18" t="str">
        <x:v>Furniture and other manufacturing</x:v>
      </x:c>
      <x:c r="E27" s="18" t="str">
        <x:v>Sector</x:v>
      </x:c>
      <x:c r="F27" s="18" t="str">
        <x:v>IO Total_Supply: rows/columns 0–63</x:v>
      </x:c>
    </x:row>
    <x:row r="28" ht="44" customHeight="1">
      <x:c r="A28" s="2" t="str">
        <x:v>S22</x:v>
      </x:c>
      <x:c r="B28" s="2" t="n">
        <x:v>22</x:v>
      </x:c>
      <x:c r="C28" s="2" t="str">
        <x:v>C33</x:v>
      </x:c>
      <x:c r="D28" s="18" t="str">
        <x:v>Repair and installation of machinery and equipment products/services</x:v>
      </x:c>
      <x:c r="E28" s="18" t="str">
        <x:v>Sector</x:v>
      </x:c>
      <x:c r="F28" s="18" t="str">
        <x:v>IO Total_Supply: rows/columns 0–63</x:v>
      </x:c>
    </x:row>
    <x:row r="29" ht="44" customHeight="1">
      <x:c r="A29" s="2" t="str">
        <x:v>S23</x:v>
      </x:c>
      <x:c r="B29" s="2" t="n">
        <x:v>23</x:v>
      </x:c>
      <x:c r="C29" s="2" t="str">
        <x:v>D35</x:v>
      </x:c>
      <x:c r="D29" s="18" t="str">
        <x:v>Electricity, gas, steam and air conditioning supply</x:v>
      </x:c>
      <x:c r="E29" s="18" t="str">
        <x:v>Sector</x:v>
      </x:c>
      <x:c r="F29" s="18" t="str">
        <x:v>IO Total_Supply: rows/columns 0–63</x:v>
      </x:c>
    </x:row>
    <x:row r="30" ht="44" customHeight="1">
      <x:c r="A30" s="2" t="str">
        <x:v>S24</x:v>
      </x:c>
      <x:c r="B30" s="2" t="n">
        <x:v>24</x:v>
      </x:c>
      <x:c r="C30" s="2" t="str">
        <x:v>E36</x:v>
      </x:c>
      <x:c r="D30" s="18" t="str">
        <x:v>Water collection, treatment and supply</x:v>
      </x:c>
      <x:c r="E30" s="18" t="str">
        <x:v>Sector</x:v>
      </x:c>
      <x:c r="F30" s="18" t="str">
        <x:v>IO Total_Supply: rows/columns 0–63</x:v>
      </x:c>
    </x:row>
    <x:row r="31" ht="44" customHeight="1">
      <x:c r="A31" s="2" t="str">
        <x:v>S25</x:v>
      </x:c>
      <x:c r="B31" s="2" t="n">
        <x:v>25</x:v>
      </x:c>
      <x:c r="C31" s="2" t="str">
        <x:v>E37-E39</x:v>
      </x:c>
      <x:c r="D31" s="18" t="str">
        <x:v>Sewerage, waste management and remediation</x:v>
      </x:c>
      <x:c r="E31" s="18" t="str">
        <x:v>Sector</x:v>
      </x:c>
      <x:c r="F31" s="18" t="str">
        <x:v>IO Total_Supply: rows/columns 0–63</x:v>
      </x:c>
    </x:row>
    <x:row r="32" ht="44" customHeight="1">
      <x:c r="A32" s="2" t="str">
        <x:v>S26</x:v>
      </x:c>
      <x:c r="B32" s="2" t="n">
        <x:v>26</x:v>
      </x:c>
      <x:c r="C32" s="2" t="str">
        <x:v>F</x:v>
      </x:c>
      <x:c r="D32" s="18" t="str">
        <x:v>Construction</x:v>
      </x:c>
      <x:c r="E32" s="18" t="str">
        <x:v>Sector</x:v>
      </x:c>
      <x:c r="F32" s="18" t="str">
        <x:v>IO Total_Supply: rows/columns 0–63</x:v>
      </x:c>
    </x:row>
    <x:row r="33" ht="44" customHeight="1">
      <x:c r="A33" s="2" t="str">
        <x:v>S27</x:v>
      </x:c>
      <x:c r="B33" s="2" t="n">
        <x:v>27</x:v>
      </x:c>
      <x:c r="C33" s="2" t="str">
        <x:v>G45</x:v>
      </x:c>
      <x:c r="D33" s="18" t="str">
        <x:v>Wholesale and retail trade and repair of motor vehicles</x:v>
      </x:c>
      <x:c r="E33" s="18" t="str">
        <x:v>Sector</x:v>
      </x:c>
      <x:c r="F33" s="18" t="str">
        <x:v>IO Total_Supply: rows/columns 0–63</x:v>
      </x:c>
    </x:row>
    <x:row r="34" ht="44" customHeight="1">
      <x:c r="A34" s="2" t="str">
        <x:v>S28</x:v>
      </x:c>
      <x:c r="B34" s="2" t="n">
        <x:v>28</x:v>
      </x:c>
      <x:c r="C34" s="2" t="str">
        <x:v>G46</x:v>
      </x:c>
      <x:c r="D34" s="18" t="str">
        <x:v>Wholesale trade, except motor vehicles</x:v>
      </x:c>
      <x:c r="E34" s="18" t="str">
        <x:v>Sector</x:v>
      </x:c>
      <x:c r="F34" s="18" t="str">
        <x:v>IO Total_Supply: rows/columns 0–63</x:v>
      </x:c>
    </x:row>
    <x:row r="35" ht="44" customHeight="1">
      <x:c r="A35" s="2" t="str">
        <x:v>S29</x:v>
      </x:c>
      <x:c r="B35" s="2" t="n">
        <x:v>29</x:v>
      </x:c>
      <x:c r="C35" s="2" t="str">
        <x:v>G47</x:v>
      </x:c>
      <x:c r="D35" s="18" t="str">
        <x:v>Retail trade, except motor vehicles</x:v>
      </x:c>
      <x:c r="E35" s="18" t="str">
        <x:v>Sector</x:v>
      </x:c>
      <x:c r="F35" s="18" t="str">
        <x:v>IO Total_Supply: rows/columns 0–63</x:v>
      </x:c>
    </x:row>
    <x:row r="36" ht="44" customHeight="1">
      <x:c r="A36" s="2" t="str">
        <x:v>S30</x:v>
      </x:c>
      <x:c r="B36" s="2" t="n">
        <x:v>30</x:v>
      </x:c>
      <x:c r="C36" s="2" t="str">
        <x:v>H49</x:v>
      </x:c>
      <x:c r="D36" s="18" t="str">
        <x:v>Land transport and transport via pipelines</x:v>
      </x:c>
      <x:c r="E36" s="18" t="str">
        <x:v>Sector</x:v>
      </x:c>
      <x:c r="F36" s="18" t="str">
        <x:v>IO Total_Supply: rows/columns 0–63</x:v>
      </x:c>
    </x:row>
    <x:row r="37" ht="44" customHeight="1">
      <x:c r="A37" s="2" t="str">
        <x:v>S31</x:v>
      </x:c>
      <x:c r="B37" s="2" t="n">
        <x:v>31</x:v>
      </x:c>
      <x:c r="C37" s="2" t="str">
        <x:v>H50</x:v>
      </x:c>
      <x:c r="D37" s="18" t="str">
        <x:v>Water transport</x:v>
      </x:c>
      <x:c r="E37" s="18" t="str">
        <x:v>Sector</x:v>
      </x:c>
      <x:c r="F37" s="18" t="str">
        <x:v>IO Total_Supply: rows/columns 0–63</x:v>
      </x:c>
    </x:row>
    <x:row r="38" ht="44" customHeight="1">
      <x:c r="A38" s="2" t="str">
        <x:v>S32</x:v>
      </x:c>
      <x:c r="B38" s="2" t="n">
        <x:v>32</x:v>
      </x:c>
      <x:c r="C38" s="2" t="str">
        <x:v>H51</x:v>
      </x:c>
      <x:c r="D38" s="18" t="str">
        <x:v>Air transport</x:v>
      </x:c>
      <x:c r="E38" s="18" t="str">
        <x:v>Sector</x:v>
      </x:c>
      <x:c r="F38" s="18" t="str">
        <x:v>IO Total_Supply: rows/columns 0–63</x:v>
      </x:c>
    </x:row>
    <x:row r="39" ht="44" customHeight="1">
      <x:c r="A39" s="2" t="str">
        <x:v>S33</x:v>
      </x:c>
      <x:c r="B39" s="2" t="n">
        <x:v>33</x:v>
      </x:c>
      <x:c r="C39" s="2" t="str">
        <x:v>H52</x:v>
      </x:c>
      <x:c r="D39" s="18" t="str">
        <x:v>Warehousing and support activities for transportation</x:v>
      </x:c>
      <x:c r="E39" s="18" t="str">
        <x:v>Sector</x:v>
      </x:c>
      <x:c r="F39" s="18" t="str">
        <x:v>IO Total_Supply: rows/columns 0–63</x:v>
      </x:c>
    </x:row>
    <x:row r="40" ht="44" customHeight="1">
      <x:c r="A40" s="2" t="str">
        <x:v>S34</x:v>
      </x:c>
      <x:c r="B40" s="2" t="n">
        <x:v>34</x:v>
      </x:c>
      <x:c r="C40" s="2" t="str">
        <x:v>H53</x:v>
      </x:c>
      <x:c r="D40" s="18" t="str">
        <x:v>Postal and courier activities</x:v>
      </x:c>
      <x:c r="E40" s="18" t="str">
        <x:v>Sector</x:v>
      </x:c>
      <x:c r="F40" s="18" t="str">
        <x:v>IO Total_Supply: rows/columns 0–63</x:v>
      </x:c>
    </x:row>
    <x:row r="41" ht="44" customHeight="1">
      <x:c r="A41" s="2" t="str">
        <x:v>S35</x:v>
      </x:c>
      <x:c r="B41" s="2" t="n">
        <x:v>35</x:v>
      </x:c>
      <x:c r="C41" s="2" t="str">
        <x:v>I</x:v>
      </x:c>
      <x:c r="D41" s="18" t="str">
        <x:v>Accommodation and food service activities</x:v>
      </x:c>
      <x:c r="E41" s="18" t="str">
        <x:v>Sector</x:v>
      </x:c>
      <x:c r="F41" s="18" t="str">
        <x:v>IO Total_Supply: rows/columns 0–63</x:v>
      </x:c>
    </x:row>
    <x:row r="42" ht="44" customHeight="1">
      <x:c r="A42" s="2" t="str">
        <x:v>S36</x:v>
      </x:c>
      <x:c r="B42" s="2" t="n">
        <x:v>36</x:v>
      </x:c>
      <x:c r="C42" s="2" t="str">
        <x:v>J58</x:v>
      </x:c>
      <x:c r="D42" s="18" t="str">
        <x:v>Publishing activities</x:v>
      </x:c>
      <x:c r="E42" s="18" t="str">
        <x:v>Sector</x:v>
      </x:c>
      <x:c r="F42" s="18" t="str">
        <x:v>IO Total_Supply: rows/columns 0–63</x:v>
      </x:c>
    </x:row>
    <x:row r="43" ht="44" customHeight="1">
      <x:c r="A43" s="2" t="str">
        <x:v>S37</x:v>
      </x:c>
      <x:c r="B43" s="2" t="n">
        <x:v>37</x:v>
      </x:c>
      <x:c r="C43" s="2" t="str">
        <x:v>J59_J60</x:v>
      </x:c>
      <x:c r="D43" s="18" t="str">
        <x:v>Audiovisual and broadcasting activities</x:v>
      </x:c>
      <x:c r="E43" s="18" t="str">
        <x:v>Sector</x:v>
      </x:c>
      <x:c r="F43" s="18" t="str">
        <x:v>IO Total_Supply: rows/columns 0–63</x:v>
      </x:c>
    </x:row>
    <x:row r="44" ht="44" customHeight="1">
      <x:c r="A44" s="2" t="str">
        <x:v>S38</x:v>
      </x:c>
      <x:c r="B44" s="2" t="n">
        <x:v>38</x:v>
      </x:c>
      <x:c r="C44" s="2" t="str">
        <x:v>J61</x:v>
      </x:c>
      <x:c r="D44" s="18" t="str">
        <x:v>Telecommunications</x:v>
      </x:c>
      <x:c r="E44" s="18" t="str">
        <x:v>Sector</x:v>
      </x:c>
      <x:c r="F44" s="18" t="str">
        <x:v>IO Total_Supply: rows/columns 0–63</x:v>
      </x:c>
    </x:row>
    <x:row r="45" ht="44" customHeight="1">
      <x:c r="A45" s="2" t="str">
        <x:v>S39</x:v>
      </x:c>
      <x:c r="B45" s="2" t="n">
        <x:v>39</x:v>
      </x:c>
      <x:c r="C45" s="2" t="str">
        <x:v>J62_J63</x:v>
      </x:c>
      <x:c r="D45" s="18" t="str">
        <x:v>Computer programming and information services</x:v>
      </x:c>
      <x:c r="E45" s="18" t="str">
        <x:v>Sector</x:v>
      </x:c>
      <x:c r="F45" s="18" t="str">
        <x:v>IO Total_Supply: rows/columns 0–63</x:v>
      </x:c>
    </x:row>
    <x:row r="46" ht="44" customHeight="1">
      <x:c r="A46" s="2" t="str">
        <x:v>S40</x:v>
      </x:c>
      <x:c r="B46" s="2" t="n">
        <x:v>40</x:v>
      </x:c>
      <x:c r="C46" s="2" t="str">
        <x:v>K64</x:v>
      </x:c>
      <x:c r="D46" s="18" t="str">
        <x:v>Financial services, except insurance and pension funding</x:v>
      </x:c>
      <x:c r="E46" s="18" t="str">
        <x:v>Sector</x:v>
      </x:c>
      <x:c r="F46" s="18" t="str">
        <x:v>IO Total_Supply: rows/columns 0–63</x:v>
      </x:c>
    </x:row>
    <x:row r="47" ht="44" customHeight="1">
      <x:c r="A47" s="2" t="str">
        <x:v>S41</x:v>
      </x:c>
      <x:c r="B47" s="2" t="n">
        <x:v>41</x:v>
      </x:c>
      <x:c r="C47" s="2" t="str">
        <x:v>K65</x:v>
      </x:c>
      <x:c r="D47" s="18" t="str">
        <x:v>Insurance, reinsurance and pension funding</x:v>
      </x:c>
      <x:c r="E47" s="18" t="str">
        <x:v>Sector</x:v>
      </x:c>
      <x:c r="F47" s="18" t="str">
        <x:v>IO Total_Supply: rows/columns 0–63</x:v>
      </x:c>
    </x:row>
    <x:row r="48" ht="44" customHeight="1">
      <x:c r="A48" s="2" t="str">
        <x:v>S42</x:v>
      </x:c>
      <x:c r="B48" s="2" t="n">
        <x:v>42</x:v>
      </x:c>
      <x:c r="C48" s="2" t="str">
        <x:v>K66</x:v>
      </x:c>
      <x:c r="D48" s="18" t="str">
        <x:v>Activities auxiliary to financial services and insurance</x:v>
      </x:c>
      <x:c r="E48" s="18" t="str">
        <x:v>Sector</x:v>
      </x:c>
      <x:c r="F48" s="18" t="str">
        <x:v>IO Total_Supply: rows/columns 0–63</x:v>
      </x:c>
    </x:row>
    <x:row r="49" ht="44" customHeight="1">
      <x:c r="A49" s="2" t="str">
        <x:v>S43</x:v>
      </x:c>
      <x:c r="B49" s="2" t="n">
        <x:v>43</x:v>
      </x:c>
      <x:c r="C49" s="2" t="str">
        <x:v>L68B</x:v>
      </x:c>
      <x:c r="D49" s="18" t="str">
        <x:v>Real estate activities excluding imputed rents</x:v>
      </x:c>
      <x:c r="E49" s="18" t="str">
        <x:v>Sector</x:v>
      </x:c>
      <x:c r="F49" s="18" t="str">
        <x:v>IO Total_Supply: rows/columns 0–63</x:v>
      </x:c>
    </x:row>
    <x:row r="50" ht="44" customHeight="1">
      <x:c r="A50" s="2" t="str">
        <x:v>S44</x:v>
      </x:c>
      <x:c r="B50" s="2" t="n">
        <x:v>44</x:v>
      </x:c>
      <x:c r="C50" s="2" t="str">
        <x:v>L68A</x:v>
      </x:c>
      <x:c r="D50" s="18" t="str">
        <x:v>Imputed rents of owner-occupied dwellings products/services</x:v>
      </x:c>
      <x:c r="E50" s="18" t="str">
        <x:v>Sector</x:v>
      </x:c>
      <x:c r="F50" s="18" t="str">
        <x:v>IO Total_Supply: rows/columns 0–63</x:v>
      </x:c>
    </x:row>
    <x:row r="51" ht="44" customHeight="1">
      <x:c r="A51" s="2" t="str">
        <x:v>S45</x:v>
      </x:c>
      <x:c r="B51" s="2" t="n">
        <x:v>45</x:v>
      </x:c>
      <x:c r="C51" s="2" t="str">
        <x:v>M69_M70</x:v>
      </x:c>
      <x:c r="D51" s="18" t="str">
        <x:v>Legal, accounting and management consultancy activities</x:v>
      </x:c>
      <x:c r="E51" s="18" t="str">
        <x:v>Sector</x:v>
      </x:c>
      <x:c r="F51" s="18" t="str">
        <x:v>IO Total_Supply: rows/columns 0–63</x:v>
      </x:c>
    </x:row>
    <x:row r="52" ht="44" customHeight="1">
      <x:c r="A52" s="2" t="str">
        <x:v>S46</x:v>
      </x:c>
      <x:c r="B52" s="2" t="n">
        <x:v>46</x:v>
      </x:c>
      <x:c r="C52" s="2" t="str">
        <x:v>M71</x:v>
      </x:c>
      <x:c r="D52" s="18" t="str">
        <x:v>Architectural and engineering activities; technical testing</x:v>
      </x:c>
      <x:c r="E52" s="18" t="str">
        <x:v>Sector</x:v>
      </x:c>
      <x:c r="F52" s="18" t="str">
        <x:v>IO Total_Supply: rows/columns 0–63</x:v>
      </x:c>
    </x:row>
    <x:row r="53" ht="44" customHeight="1">
      <x:c r="A53" s="2" t="str">
        <x:v>S47</x:v>
      </x:c>
      <x:c r="B53" s="2" t="n">
        <x:v>47</x:v>
      </x:c>
      <x:c r="C53" s="2" t="str">
        <x:v>M72</x:v>
      </x:c>
      <x:c r="D53" s="18" t="str">
        <x:v>Scientific research and development</x:v>
      </x:c>
      <x:c r="E53" s="18" t="str">
        <x:v>Sector</x:v>
      </x:c>
      <x:c r="F53" s="18" t="str">
        <x:v>IO Total_Supply: rows/columns 0–63</x:v>
      </x:c>
    </x:row>
    <x:row r="54" ht="44" customHeight="1">
      <x:c r="A54" s="2" t="str">
        <x:v>S48</x:v>
      </x:c>
      <x:c r="B54" s="2" t="n">
        <x:v>48</x:v>
      </x:c>
      <x:c r="C54" s="2" t="str">
        <x:v>M73</x:v>
      </x:c>
      <x:c r="D54" s="18" t="str">
        <x:v>Advertising and market research</x:v>
      </x:c>
      <x:c r="E54" s="18" t="str">
        <x:v>Sector</x:v>
      </x:c>
      <x:c r="F54" s="18" t="str">
        <x:v>IO Total_Supply: rows/columns 0–63</x:v>
      </x:c>
    </x:row>
    <x:row r="55" ht="44" customHeight="1">
      <x:c r="A55" s="2" t="str">
        <x:v>S49</x:v>
      </x:c>
      <x:c r="B55" s="2" t="n">
        <x:v>49</x:v>
      </x:c>
      <x:c r="C55" s="2" t="str">
        <x:v>M74_M75</x:v>
      </x:c>
      <x:c r="D55" s="18" t="str">
        <x:v>Other professional, scientific, technical and veterinary activities</x:v>
      </x:c>
      <x:c r="E55" s="18" t="str">
        <x:v>Sector</x:v>
      </x:c>
      <x:c r="F55" s="18" t="str">
        <x:v>IO Total_Supply: rows/columns 0–63</x:v>
      </x:c>
    </x:row>
    <x:row r="56" ht="44" customHeight="1">
      <x:c r="A56" s="2" t="str">
        <x:v>S50</x:v>
      </x:c>
      <x:c r="B56" s="2" t="n">
        <x:v>50</x:v>
      </x:c>
      <x:c r="C56" s="2" t="str">
        <x:v>N77</x:v>
      </x:c>
      <x:c r="D56" s="18" t="str">
        <x:v>Rental and leasing activities</x:v>
      </x:c>
      <x:c r="E56" s="18" t="str">
        <x:v>Sector</x:v>
      </x:c>
      <x:c r="F56" s="18" t="str">
        <x:v>IO Total_Supply: rows/columns 0–63</x:v>
      </x:c>
    </x:row>
    <x:row r="57" ht="44" customHeight="1">
      <x:c r="A57" s="2" t="str">
        <x:v>S51</x:v>
      </x:c>
      <x:c r="B57" s="2" t="n">
        <x:v>51</x:v>
      </x:c>
      <x:c r="C57" s="2" t="str">
        <x:v>N78</x:v>
      </x:c>
      <x:c r="D57" s="18" t="str">
        <x:v>Employment activities</x:v>
      </x:c>
      <x:c r="E57" s="18" t="str">
        <x:v>Sector</x:v>
      </x:c>
      <x:c r="F57" s="18" t="str">
        <x:v>IO Total_Supply: rows/columns 0–63</x:v>
      </x:c>
    </x:row>
    <x:row r="58" ht="44" customHeight="1">
      <x:c r="A58" s="2" t="str">
        <x:v>S52</x:v>
      </x:c>
      <x:c r="B58" s="2" t="n">
        <x:v>52</x:v>
      </x:c>
      <x:c r="C58" s="2" t="str">
        <x:v>N79</x:v>
      </x:c>
      <x:c r="D58" s="18" t="str">
        <x:v>Travel agencies, tour operators and reservation services</x:v>
      </x:c>
      <x:c r="E58" s="18" t="str">
        <x:v>Sector</x:v>
      </x:c>
      <x:c r="F58" s="18" t="str">
        <x:v>IO Total_Supply: rows/columns 0–63</x:v>
      </x:c>
    </x:row>
    <x:row r="59" ht="44" customHeight="1">
      <x:c r="A59" s="2" t="str">
        <x:v>S53</x:v>
      </x:c>
      <x:c r="B59" s="2" t="n">
        <x:v>53</x:v>
      </x:c>
      <x:c r="C59" s="2" t="str">
        <x:v>N80-N82</x:v>
      </x:c>
      <x:c r="D59" s="18" t="str">
        <x:v>Security, building services and administrative support</x:v>
      </x:c>
      <x:c r="E59" s="18" t="str">
        <x:v>Sector</x:v>
      </x:c>
      <x:c r="F59" s="18" t="str">
        <x:v>IO Total_Supply: rows/columns 0–63</x:v>
      </x:c>
    </x:row>
    <x:row r="60" ht="44" customHeight="1">
      <x:c r="A60" s="2" t="str">
        <x:v>S54</x:v>
      </x:c>
      <x:c r="B60" s="2" t="n">
        <x:v>54</x:v>
      </x:c>
      <x:c r="C60" s="2" t="str">
        <x:v>O84</x:v>
      </x:c>
      <x:c r="D60" s="18" t="str">
        <x:v>Public administration and defence; compulsory social security</x:v>
      </x:c>
      <x:c r="E60" s="18" t="str">
        <x:v>Sector</x:v>
      </x:c>
      <x:c r="F60" s="18" t="str">
        <x:v>IO Total_Supply: rows/columns 0–63</x:v>
      </x:c>
    </x:row>
    <x:row r="61" ht="44" customHeight="1">
      <x:c r="A61" s="2" t="str">
        <x:v>S55</x:v>
      </x:c>
      <x:c r="B61" s="2" t="n">
        <x:v>55</x:v>
      </x:c>
      <x:c r="C61" s="2" t="str">
        <x:v>P85</x:v>
      </x:c>
      <x:c r="D61" s="18" t="str">
        <x:v>Education</x:v>
      </x:c>
      <x:c r="E61" s="18" t="str">
        <x:v>Sector</x:v>
      </x:c>
      <x:c r="F61" s="18" t="str">
        <x:v>IO Total_Supply: rows/columns 0–63</x:v>
      </x:c>
    </x:row>
    <x:row r="62" ht="44" customHeight="1">
      <x:c r="A62" s="2" t="str">
        <x:v>S56</x:v>
      </x:c>
      <x:c r="B62" s="2" t="n">
        <x:v>56</x:v>
      </x:c>
      <x:c r="C62" s="2" t="str">
        <x:v>Q86</x:v>
      </x:c>
      <x:c r="D62" s="18" t="str">
        <x:v>Human health activities products/services</x:v>
      </x:c>
      <x:c r="E62" s="18" t="str">
        <x:v>Sector</x:v>
      </x:c>
      <x:c r="F62" s="18" t="str">
        <x:v>IO Total_Supply: rows/columns 0–63</x:v>
      </x:c>
    </x:row>
    <x:row r="63" ht="44" customHeight="1">
      <x:c r="A63" s="2" t="str">
        <x:v>S57</x:v>
      </x:c>
      <x:c r="B63" s="2" t="n">
        <x:v>57</x:v>
      </x:c>
      <x:c r="C63" s="2" t="str">
        <x:v>Q87_Q88</x:v>
      </x:c>
      <x:c r="D63" s="18" t="str">
        <x:v>Residential care and social work activities</x:v>
      </x:c>
      <x:c r="E63" s="18" t="str">
        <x:v>Sector</x:v>
      </x:c>
      <x:c r="F63" s="18" t="str">
        <x:v>IO Total_Supply: rows/columns 0–63</x:v>
      </x:c>
    </x:row>
    <x:row r="64" ht="44" customHeight="1">
      <x:c r="A64" s="2" t="str">
        <x:v>S58</x:v>
      </x:c>
      <x:c r="B64" s="2" t="n">
        <x:v>58</x:v>
      </x:c>
      <x:c r="C64" s="2" t="str">
        <x:v>R90-R92</x:v>
      </x:c>
      <x:c r="D64" s="18" t="str">
        <x:v>Arts, entertainment and recreation activities</x:v>
      </x:c>
      <x:c r="E64" s="18" t="str">
        <x:v>Sector</x:v>
      </x:c>
      <x:c r="F64" s="18" t="str">
        <x:v>IO Total_Supply: rows/columns 0–63</x:v>
      </x:c>
    </x:row>
    <x:row r="65" ht="44" customHeight="1">
      <x:c r="A65" s="2" t="str">
        <x:v>S59</x:v>
      </x:c>
      <x:c r="B65" s="2" t="n">
        <x:v>59</x:v>
      </x:c>
      <x:c r="C65" s="2" t="str">
        <x:v>R93</x:v>
      </x:c>
      <x:c r="D65" s="18" t="str">
        <x:v>Sports, amusement and recreation activities</x:v>
      </x:c>
      <x:c r="E65" s="18" t="str">
        <x:v>Sector</x:v>
      </x:c>
      <x:c r="F65" s="18" t="str">
        <x:v>IO Total_Supply: rows/columns 0–63</x:v>
      </x:c>
    </x:row>
    <x:row r="66" ht="44" customHeight="1">
      <x:c r="A66" s="2" t="str">
        <x:v>S60</x:v>
      </x:c>
      <x:c r="B66" s="2" t="n">
        <x:v>60</x:v>
      </x:c>
      <x:c r="C66" s="2" t="str">
        <x:v>S94</x:v>
      </x:c>
      <x:c r="D66" s="18" t="str">
        <x:v>Activities of membership organisations</x:v>
      </x:c>
      <x:c r="E66" s="18" t="str">
        <x:v>Sector</x:v>
      </x:c>
      <x:c r="F66" s="18" t="str">
        <x:v>IO Total_Supply: rows/columns 0–63</x:v>
      </x:c>
    </x:row>
    <x:row r="67" ht="44" customHeight="1">
      <x:c r="A67" s="2" t="str">
        <x:v>S61</x:v>
      </x:c>
      <x:c r="B67" s="2" t="n">
        <x:v>61</x:v>
      </x:c>
      <x:c r="C67" s="2" t="str">
        <x:v>S95</x:v>
      </x:c>
      <x:c r="D67" s="18" t="str">
        <x:v>Repair of computers and personal and household goods</x:v>
      </x:c>
      <x:c r="E67" s="18" t="str">
        <x:v>Sector</x:v>
      </x:c>
      <x:c r="F67" s="18" t="str">
        <x:v>IO Total_Supply: rows/columns 0–63</x:v>
      </x:c>
    </x:row>
    <x:row r="68" ht="44" customHeight="1">
      <x:c r="A68" s="2" t="str">
        <x:v>S62</x:v>
      </x:c>
      <x:c r="B68" s="2" t="n">
        <x:v>62</x:v>
      </x:c>
      <x:c r="C68" s="2" t="str">
        <x:v>S96</x:v>
      </x:c>
      <x:c r="D68" s="18" t="str">
        <x:v>Other personal service activities</x:v>
      </x:c>
      <x:c r="E68" s="18" t="str">
        <x:v>Sector</x:v>
      </x:c>
      <x:c r="F68" s="18" t="str">
        <x:v>IO Total_Supply: rows/columns 0–63</x:v>
      </x:c>
    </x:row>
    <x:row r="69" ht="44" customHeight="1">
      <x:c r="A69" s="2" t="str">
        <x:v>S63</x:v>
      </x:c>
      <x:c r="B69" s="2" t="n">
        <x:v>63</x:v>
      </x:c>
      <x:c r="C69" s="2" t="str">
        <x:v>T</x:v>
      </x:c>
      <x:c r="D69" s="18" t="str">
        <x:v>Activities of households as employers and for own use</x:v>
      </x:c>
      <x:c r="E69" s="18" t="str">
        <x:v>Sector</x:v>
      </x:c>
      <x:c r="F69" s="18" t="str">
        <x:v>IO Total_Supply: rows/columns 0–63</x:v>
      </x:c>
    </x:row>
    <x:row r="70" ht="44" customHeight="1">
      <x:c r="A70" s="2" t="str">
        <x:v>LAB</x:v>
      </x:c>
      <x:c r="B70" s="2"/>
      <x:c r="C70" s="2" t="str"/>
      <x:c r="D70" s="18" t="str">
        <x:v>Labour</x:v>
      </x:c>
      <x:c r="E70" s="18" t="str">
        <x:v>Factor</x:v>
      </x:c>
      <x:c r="F70" s="18" t="str">
        <x:v>Compensation of employees</x:v>
      </x:c>
    </x:row>
    <x:row r="71" ht="44" customHeight="1">
      <x:c r="A71" s="2" t="str">
        <x:v>CAP</x:v>
      </x:c>
      <x:c r="B71" s="2"/>
      <x:c r="C71" s="2" t="str"/>
      <x:c r="D71" s="18" t="str">
        <x:v>Capital</x:v>
      </x:c>
      <x:c r="E71" s="18" t="str">
        <x:v>Factor</x:v>
      </x:c>
      <x:c r="F71" s="18" t="str">
        <x:v>Gross operating surplus / mixed income, including depreciation</x:v>
      </x:c>
    </x:row>
    <x:row r="72" ht="44" customHeight="1">
      <x:c r="A72" s="2" t="str">
        <x:v>PTAX</x:v>
      </x:c>
      <x:c r="B72" s="2"/>
      <x:c r="C72" s="2" t="str"/>
      <x:c r="D72" s="18" t="str">
        <x:v>Other net production taxes</x:v>
      </x:c>
      <x:c r="E72" s="18" t="str">
        <x:v>Tax</x:v>
      </x:c>
      <x:c r="F72" s="18" t="str">
        <x:v>Production taxes less subsidies; D29-D39</x:v>
      </x:c>
    </x:row>
    <x:row r="73" ht="44" customHeight="1">
      <x:c r="A73" s="2" t="str">
        <x:v>CTAX</x:v>
      </x:c>
      <x:c r="B73" s="2"/>
      <x:c r="C73" s="2" t="str"/>
      <x:c r="D73" s="18" t="str">
        <x:v>Net product taxes</x:v>
      </x:c>
      <x:c r="E73" s="18" t="str">
        <x:v>Tax</x:v>
      </x:c>
      <x:c r="F73" s="18" t="str">
        <x:v>Commodity taxes less subsidies; D21-D31; import duties are not separately identified</x:v>
      </x:c>
    </x:row>
    <x:row r="74" ht="44" customHeight="1">
      <x:c r="A74" s="2" t="str">
        <x:v>DTAX</x:v>
      </x:c>
      <x:c r="B74" s="2"/>
      <x:c r="C74" s="2" t="str"/>
      <x:c r="D74" s="18" t="str">
        <x:v>Direct tax</x:v>
      </x:c>
      <x:c r="E74" s="18" t="str">
        <x:v>Tax</x:v>
      </x:c>
      <x:c r="F74" s="18" t="str">
        <x:v>TurkStat D.5 general government resources; HOH → DTAX → GOV</x:v>
      </x:c>
    </x:row>
    <x:row r="75" ht="44" customHeight="1">
      <x:c r="A75" s="2" t="str">
        <x:v>HOH</x:v>
      </x:c>
      <x:c r="B75" s="2"/>
      <x:c r="C75" s="2" t="str"/>
      <x:c r="D75" s="18" t="str">
        <x:v>Representative household</x:v>
      </x:c>
      <x:c r="E75" s="18" t="str">
        <x:v>Institution</x:v>
      </x:c>
      <x:c r="F75" s="18" t="str">
        <x:v>All labour and capital income; representative private-sector scope</x:v>
      </x:c>
    </x:row>
    <x:row r="76" ht="44" customHeight="1">
      <x:c r="A76" s="2" t="str">
        <x:v>GOV</x:v>
      </x:c>
      <x:c r="B76" s="2"/>
      <x:c r="C76" s="2" t="str"/>
      <x:c r="D76" s="18" t="str">
        <x:v>Government</x:v>
      </x:c>
      <x:c r="E76" s="18" t="str">
        <x:v>Institution</x:v>
      </x:c>
      <x:c r="F76" s="18" t="str">
        <x:v>Tax revenue, government consumption and residual government saving</x:v>
      </x:c>
    </x:row>
    <x:row r="77" ht="44" customHeight="1">
      <x:c r="A77" s="2" t="str">
        <x:v>INV</x:v>
      </x:c>
      <x:c r="B77" s="2"/>
      <x:c r="C77" s="2" t="str"/>
      <x:c r="D77" s="18" t="str">
        <x:v>Investment-tasarruf</x:v>
      </x:c>
      <x:c r="E77" s="18" t="str">
        <x:v>Institution</x:v>
      </x:c>
      <x:c r="F77" s="18" t="str">
        <x:v>Investment and inventories; private, government and foreign saving</x:v>
      </x:c>
    </x:row>
    <x:row r="78" ht="44" customHeight="1">
      <x:c r="A78" s="2" t="str">
        <x:v>EXT</x:v>
      </x:c>
      <x:c r="B78" s="2"/>
      <x:c r="C78" s="2" t="str"/>
      <x:c r="D78" s="18" t="str">
        <x:v>Rest of the world</x:v>
      </x:c>
      <x:c r="E78" s="18" t="str">
        <x:v>Institution</x:v>
      </x:c>
      <x:c r="F78" s="18" t="str">
        <x:v>IO imports/exports; excludes foreign factor income and transfers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62" hidden="0" customWidth="1"/>
    <x:col min="3" max="3" width="23" hidden="0" customWidth="1"/>
    <x:col min="4" max="4" width="30" hidden="0" customWidth="1"/>
    <x:col min="5" max="5" width="23" hidden="0" customWidth="1"/>
    <x:col min="6" max="6" width="64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Transfer of tax data to separate SAM accounts</x:v>
      </x:c>
      <x:c r="B2" s="2"/>
      <x:c r="C2" s="2"/>
      <x:c r="D2" s="2"/>
      <x:c r="E2" s="2"/>
      <x:c r="F2" s="2"/>
    </x:row>
    <x:row r="3" ht="22" customHeight="1">
      <x:c r="A3" s="4" t="str">
        <x:v>Thousand TRY. CTAX: net product taxes. PTAX: other net production taxes. Import duties are not separate.</x:v>
      </x:c>
      <x:c r="B3" s="2"/>
      <x:c r="C3" s="2"/>
      <x:c r="D3" s="2"/>
      <x:c r="E3" s="2"/>
      <x:c r="F3" s="2"/>
    </x:row>
    <x:row r="4" ht="22" customHeight="1">
      <x:c r="A4" s="2"/>
      <x:c r="B4" s="2"/>
      <x:c r="C4" s="2"/>
      <x:c r="D4" s="2"/>
      <x:c r="E4" s="2"/>
      <x:c r="F4" s="2"/>
    </x:row>
    <x:row r="5" ht="36" customHeight="1">
      <x:c r="A5" s="8" t="str">
        <x:v>Account</x:v>
      </x:c>
      <x:c r="B5" s="8" t="str">
        <x:v>Name</x:v>
      </x:c>
      <x:c r="C5" s="8" t="str">
        <x:v>CTAX: net product taxes</x:v>
      </x:c>
      <x:c r="D5" s="8" t="str">
        <x:v>PTAX: other net production taxes</x:v>
      </x:c>
      <x:c r="E5" s="8" t="str">
        <x:v>PTAX + CTAX</x:v>
      </x:c>
      <x:c r="F5" s="8" t="str">
        <x:v>Source</x:v>
      </x:c>
    </x:row>
    <x:row r="6" ht="42" customHeight="1">
      <x:c r="A6" s="2" t="str">
        <x:v>S00</x:v>
      </x:c>
      <x:c r="B6" s="19" t="str">
        <x:v>Crop and animal production, hunting and related services</x:v>
      </x:c>
      <x:c r="C6" s="9" t="n">
        <x:v>-14134006.594539572</x:v>
      </x:c>
      <x:c r="D6" s="9" t="n">
        <x:v>-40497646.41729643</x:v>
      </x:c>
      <x:c r="E6" s="9" t="n">
        <x:f>C6+D6</x:f>
        <x:v>-54631653.01183601</x:v>
      </x:c>
      <x:c r="F6" s="9" t="str">
        <x:v>I_industry_io_tables_2023.xlsx / Total_Supply</x:v>
      </x:c>
    </x:row>
    <x:row r="7" ht="42" customHeight="1">
      <x:c r="A7" s="2" t="str">
        <x:v>S01</x:v>
      </x:c>
      <x:c r="B7" s="19" t="str">
        <x:v>Forestry and logging</x:v>
      </x:c>
      <x:c r="C7" s="9" t="n">
        <x:v>144781.1421751063</x:v>
      </x:c>
      <x:c r="D7" s="9" t="n">
        <x:v>43809.32864288765</x:v>
      </x:c>
      <x:c r="E7" s="9" t="n">
        <x:f>C7+D7</x:f>
        <x:v>188590.47081799395</x:v>
      </x:c>
      <x:c r="F7" s="9" t="str">
        <x:v>I_industry_io_tables_2023.xlsx / Total_Supply</x:v>
      </x:c>
    </x:row>
    <x:row r="8" ht="42" customHeight="1">
      <x:c r="A8" s="2" t="str">
        <x:v>S02</x:v>
      </x:c>
      <x:c r="B8" s="19" t="str">
        <x:v>Fishing and aquaculture</x:v>
      </x:c>
      <x:c r="C8" s="9" t="n">
        <x:v>375484.20200962346</x:v>
      </x:c>
      <x:c r="D8" s="9" t="n">
        <x:v>43031.773478470175</x:v>
      </x:c>
      <x:c r="E8" s="9" t="n">
        <x:f>C8+D8</x:f>
        <x:v>418515.9754880936</x:v>
      </x:c>
      <x:c r="F8" s="9" t="str">
        <x:v>I_industry_io_tables_2023.xlsx / Total_Supply</x:v>
      </x:c>
    </x:row>
    <x:row r="9" ht="42" customHeight="1">
      <x:c r="A9" s="2" t="str">
        <x:v>S03</x:v>
      </x:c>
      <x:c r="B9" s="19" t="str">
        <x:v>Mining and quarrying products/services</x:v>
      </x:c>
      <x:c r="C9" s="9" t="n">
        <x:v>6086615.936848065</x:v>
      </x:c>
      <x:c r="D9" s="9" t="n">
        <x:v>-7361776.349188306</x:v>
      </x:c>
      <x:c r="E9" s="9" t="n">
        <x:f>C9+D9</x:f>
        <x:v>-1275160.4123402415</x:v>
      </x:c>
      <x:c r="F9" s="9" t="str">
        <x:v>I_industry_io_tables_2023.xlsx / Total_Supply</x:v>
      </x:c>
    </x:row>
    <x:row r="10" ht="42" customHeight="1">
      <x:c r="A10" s="2" t="str">
        <x:v>S04</x:v>
      </x:c>
      <x:c r="B10" s="19" t="str">
        <x:v>Food products, beverages and tobacco</x:v>
      </x:c>
      <x:c r="C10" s="9" t="n">
        <x:v>-5218209.715159202</x:v>
      </x:c>
      <x:c r="D10" s="9" t="n">
        <x:v>-27938700.06509559</x:v>
      </x:c>
      <x:c r="E10" s="9" t="n">
        <x:f>C10+D10</x:f>
        <x:v>-33156909.78025479</x:v>
      </x:c>
      <x:c r="F10" s="9" t="str">
        <x:v>I_industry_io_tables_2023.xlsx / Total_Supply</x:v>
      </x:c>
    </x:row>
    <x:row r="11" ht="42" customHeight="1">
      <x:c r="A11" s="2" t="str">
        <x:v>S05</x:v>
      </x:c>
      <x:c r="B11" s="19" t="str">
        <x:v>Textiles, wearing apparel and leather products</x:v>
      </x:c>
      <x:c r="C11" s="9" t="n">
        <x:v>13974022.491958532</x:v>
      </x:c>
      <x:c r="D11" s="9" t="n">
        <x:v>-26638724.728768833</x:v>
      </x:c>
      <x:c r="E11" s="9" t="n">
        <x:f>C11+D11</x:f>
        <x:v>-12664702.2368103</x:v>
      </x:c>
      <x:c r="F11" s="9" t="str">
        <x:v>I_industry_io_tables_2023.xlsx / Total_Supply</x:v>
      </x:c>
    </x:row>
    <x:row r="12" ht="42" customHeight="1">
      <x:c r="A12" s="2" t="str">
        <x:v>S06</x:v>
      </x:c>
      <x:c r="B12" s="19" t="str">
        <x:v>Wood and products of wood and cork</x:v>
      </x:c>
      <x:c r="C12" s="9" t="n">
        <x:v>1961103.8831989353</x:v>
      </x:c>
      <x:c r="D12" s="9" t="n">
        <x:v>-2261101.6056372444</x:v>
      </x:c>
      <x:c r="E12" s="9" t="n">
        <x:f>C12+D12</x:f>
        <x:v>-299997.7224383091</x:v>
      </x:c>
      <x:c r="F12" s="9" t="str">
        <x:v>I_industry_io_tables_2023.xlsx / Total_Supply</x:v>
      </x:c>
    </x:row>
    <x:row r="13" ht="42" customHeight="1">
      <x:c r="A13" s="2" t="str">
        <x:v>S07</x:v>
      </x:c>
      <x:c r="B13" s="19" t="str">
        <x:v>Paper and paper products</x:v>
      </x:c>
      <x:c r="C13" s="9" t="n">
        <x:v>4719029.343577891</x:v>
      </x:c>
      <x:c r="D13" s="9" t="n">
        <x:v>-3752966.960414423</x:v>
      </x:c>
      <x:c r="E13" s="9" t="n">
        <x:f>C13+D13</x:f>
        <x:v>966062.3831634675</x:v>
      </x:c>
      <x:c r="F13" s="9" t="str">
        <x:v>I_industry_io_tables_2023.xlsx / Total_Supply</x:v>
      </x:c>
    </x:row>
    <x:row r="14" ht="42" customHeight="1">
      <x:c r="A14" s="2" t="str">
        <x:v>S08</x:v>
      </x:c>
      <x:c r="B14" s="19" t="str">
        <x:v>Printing and reproduction of recorded media</x:v>
      </x:c>
      <x:c r="C14" s="9" t="n">
        <x:v>1224519.86204447</x:v>
      </x:c>
      <x:c r="D14" s="9" t="n">
        <x:v>-1718291.4923099608</x:v>
      </x:c>
      <x:c r="E14" s="9" t="n">
        <x:f>C14+D14</x:f>
        <x:v>-493771.63026549085</x:v>
      </x:c>
      <x:c r="F14" s="9" t="str">
        <x:v>I_industry_io_tables_2023.xlsx / Total_Supply</x:v>
      </x:c>
    </x:row>
    <x:row r="15" ht="42" customHeight="1">
      <x:c r="A15" s="2" t="str">
        <x:v>S09</x:v>
      </x:c>
      <x:c r="B15" s="19" t="str">
        <x:v>Coke and refined petroleum products</x:v>
      </x:c>
      <x:c r="C15" s="9" t="n">
        <x:v>59696501.321230225</x:v>
      </x:c>
      <x:c r="D15" s="9" t="n">
        <x:v>-10353513.59669094</x:v>
      </x:c>
      <x:c r="E15" s="9" t="n">
        <x:f>C15+D15</x:f>
        <x:v>49342987.72453929</x:v>
      </x:c>
      <x:c r="F15" s="9" t="str">
        <x:v>I_industry_io_tables_2023.xlsx / Total_Supply</x:v>
      </x:c>
    </x:row>
    <x:row r="16" ht="42" customHeight="1">
      <x:c r="A16" s="2" t="str">
        <x:v>S10</x:v>
      </x:c>
      <x:c r="B16" s="19" t="str">
        <x:v>Chemicals and chemical products</x:v>
      </x:c>
      <x:c r="C16" s="9" t="n">
        <x:v>11788425.711031023</x:v>
      </x:c>
      <x:c r="D16" s="9" t="n">
        <x:v>-8568679.056335444</x:v>
      </x:c>
      <x:c r="E16" s="9" t="n">
        <x:f>C16+D16</x:f>
        <x:v>3219746.65469558</x:v>
      </x:c>
      <x:c r="F16" s="9" t="str">
        <x:v>I_industry_io_tables_2023.xlsx / Total_Supply</x:v>
      </x:c>
    </x:row>
    <x:row r="17" ht="42" customHeight="1">
      <x:c r="A17" s="2" t="str">
        <x:v>S11</x:v>
      </x:c>
      <x:c r="B17" s="19" t="str">
        <x:v>Basic pharmaceutical products and preparations</x:v>
      </x:c>
      <x:c r="C17" s="9" t="n">
        <x:v>1449736.7035133564</x:v>
      </x:c>
      <x:c r="D17" s="9" t="n">
        <x:v>-1753834.7403801018</x:v>
      </x:c>
      <x:c r="E17" s="9" t="n">
        <x:f>C17+D17</x:f>
        <x:v>-304098.03686674545</x:v>
      </x:c>
      <x:c r="F17" s="9" t="str">
        <x:v>I_industry_io_tables_2023.xlsx / Total_Supply</x:v>
      </x:c>
    </x:row>
    <x:row r="18" ht="42" customHeight="1">
      <x:c r="A18" s="2" t="str">
        <x:v>S12</x:v>
      </x:c>
      <x:c r="B18" s="19" t="str">
        <x:v>Rubber and plastic products</x:v>
      </x:c>
      <x:c r="C18" s="9" t="n">
        <x:v>8352764.29510885</x:v>
      </x:c>
      <x:c r="D18" s="9" t="n">
        <x:v>-9273071.159087677</x:v>
      </x:c>
      <x:c r="E18" s="9" t="n">
        <x:f>C18+D18</x:f>
        <x:v>-920306.8639788264</x:v>
      </x:c>
      <x:c r="F18" s="9" t="str">
        <x:v>I_industry_io_tables_2023.xlsx / Total_Supply</x:v>
      </x:c>
    </x:row>
    <x:row r="19" ht="42" customHeight="1">
      <x:c r="A19" s="2" t="str">
        <x:v>S13</x:v>
      </x:c>
      <x:c r="B19" s="19" t="str">
        <x:v>Other non-metallic mineral products</x:v>
      </x:c>
      <x:c r="C19" s="9" t="n">
        <x:v>9412408.528266706</x:v>
      </x:c>
      <x:c r="D19" s="9" t="n">
        <x:v>-9311397.553996531</x:v>
      </x:c>
      <x:c r="E19" s="9" t="n">
        <x:f>C19+D19</x:f>
        <x:v>101010.97427017428</x:v>
      </x:c>
      <x:c r="F19" s="9" t="str">
        <x:v>I_industry_io_tables_2023.xlsx / Total_Supply</x:v>
      </x:c>
    </x:row>
    <x:row r="20" ht="42" customHeight="1">
      <x:c r="A20" s="2" t="str">
        <x:v>S14</x:v>
      </x:c>
      <x:c r="B20" s="19" t="str">
        <x:v>Basic metals</x:v>
      </x:c>
      <x:c r="C20" s="9" t="n">
        <x:v>19480726.64778794</x:v>
      </x:c>
      <x:c r="D20" s="9" t="n">
        <x:v>-21409319.06808137</x:v>
      </x:c>
      <x:c r="E20" s="9" t="n">
        <x:f>C20+D20</x:f>
        <x:v>-1928592.4202934317</x:v>
      </x:c>
      <x:c r="F20" s="9" t="str">
        <x:v>I_industry_io_tables_2023.xlsx / Total_Supply</x:v>
      </x:c>
    </x:row>
    <x:row r="21" ht="42" customHeight="1">
      <x:c r="A21" s="2" t="str">
        <x:v>S15</x:v>
      </x:c>
      <x:c r="B21" s="19" t="str">
        <x:v>Fabricated metal products</x:v>
      </x:c>
      <x:c r="C21" s="9" t="n">
        <x:v>10251345.240047941</x:v>
      </x:c>
      <x:c r="D21" s="9" t="n">
        <x:v>-9639454.813398307</x:v>
      </x:c>
      <x:c r="E21" s="9" t="n">
        <x:f>C21+D21</x:f>
        <x:v>611890.4266496338</x:v>
      </x:c>
      <x:c r="F21" s="9" t="str">
        <x:v>I_industry_io_tables_2023.xlsx / Total_Supply</x:v>
      </x:c>
    </x:row>
    <x:row r="22" ht="42" customHeight="1">
      <x:c r="A22" s="2" t="str">
        <x:v>S16</x:v>
      </x:c>
      <x:c r="B22" s="19" t="str">
        <x:v>Computer, electronic and optical products</x:v>
      </x:c>
      <x:c r="C22" s="9" t="n">
        <x:v>2691994.059496276</x:v>
      </x:c>
      <x:c r="D22" s="9" t="n">
        <x:v>-2047539.9700179663</x:v>
      </x:c>
      <x:c r="E22" s="9" t="n">
        <x:f>C22+D22</x:f>
        <x:v>644454.0894783097</x:v>
      </x:c>
      <x:c r="F22" s="9" t="str">
        <x:v>I_industry_io_tables_2023.xlsx / Total_Supply</x:v>
      </x:c>
    </x:row>
    <x:row r="23" ht="42" customHeight="1">
      <x:c r="A23" s="2" t="str">
        <x:v>S17</x:v>
      </x:c>
      <x:c r="B23" s="19" t="str">
        <x:v>Electrical equipment</x:v>
      </x:c>
      <x:c r="C23" s="9" t="n">
        <x:v>11316439.75525596</x:v>
      </x:c>
      <x:c r="D23" s="9" t="n">
        <x:v>-9001793.787840633</x:v>
      </x:c>
      <x:c r="E23" s="9" t="n">
        <x:f>C23+D23</x:f>
        <x:v>2314645.967415327</x:v>
      </x:c>
      <x:c r="F23" s="9" t="str">
        <x:v>I_industry_io_tables_2023.xlsx / Total_Supply</x:v>
      </x:c>
    </x:row>
    <x:row r="24" ht="42" customHeight="1">
      <x:c r="A24" s="2" t="str">
        <x:v>S18</x:v>
      </x:c>
      <x:c r="B24" s="19" t="str">
        <x:v>Machinery and equipment n.e.c.</x:v>
      </x:c>
      <x:c r="C24" s="9" t="n">
        <x:v>12801871.78476721</x:v>
      </x:c>
      <x:c r="D24" s="9" t="n">
        <x:v>-7563332.306271806</x:v>
      </x:c>
      <x:c r="E24" s="9" t="n">
        <x:f>C24+D24</x:f>
        <x:v>5238539.478495404</x:v>
      </x:c>
      <x:c r="F24" s="9" t="str">
        <x:v>I_industry_io_tables_2023.xlsx / Total_Supply</x:v>
      </x:c>
    </x:row>
    <x:row r="25" ht="42" customHeight="1">
      <x:c r="A25" s="2" t="str">
        <x:v>S19</x:v>
      </x:c>
      <x:c r="B25" s="19" t="str">
        <x:v>Motor vehicles, trailers and semi-trailers</x:v>
      </x:c>
      <x:c r="C25" s="9" t="n">
        <x:v>15624390.410541628</x:v>
      </x:c>
      <x:c r="D25" s="9" t="n">
        <x:v>-13504654.255757567</x:v>
      </x:c>
      <x:c r="E25" s="9" t="n">
        <x:f>C25+D25</x:f>
        <x:v>2119736.154784061</x:v>
      </x:c>
      <x:c r="F25" s="9" t="str">
        <x:v>I_industry_io_tables_2023.xlsx / Total_Supply</x:v>
      </x:c>
    </x:row>
    <x:row r="26" ht="42" customHeight="1">
      <x:c r="A26" s="2" t="str">
        <x:v>S20</x:v>
      </x:c>
      <x:c r="B26" s="19" t="str">
        <x:v>Other transport equipment</x:v>
      </x:c>
      <x:c r="C26" s="9" t="n">
        <x:v>5620924.888988438</x:v>
      </x:c>
      <x:c r="D26" s="9" t="n">
        <x:v>-1468215.374654266</x:v>
      </x:c>
      <x:c r="E26" s="9" t="n">
        <x:f>C26+D26</x:f>
        <x:v>4152709.514334172</x:v>
      </x:c>
      <x:c r="F26" s="9" t="str">
        <x:v>I_industry_io_tables_2023.xlsx / Total_Supply</x:v>
      </x:c>
    </x:row>
    <x:row r="27" ht="42" customHeight="1">
      <x:c r="A27" s="2" t="str">
        <x:v>S21</x:v>
      </x:c>
      <x:c r="B27" s="19" t="str">
        <x:v>Furniture and other manufacturing</x:v>
      </x:c>
      <x:c r="C27" s="9" t="n">
        <x:v>5442013.957609644</x:v>
      </x:c>
      <x:c r="D27" s="9" t="n">
        <x:v>-5581316.216307546</x:v>
      </x:c>
      <x:c r="E27" s="9" t="n">
        <x:f>C27+D27</x:f>
        <x:v>-139302.25869790185</x:v>
      </x:c>
      <x:c r="F27" s="9" t="str">
        <x:v>I_industry_io_tables_2023.xlsx / Total_Supply</x:v>
      </x:c>
    </x:row>
    <x:row r="28" ht="42" customHeight="1">
      <x:c r="A28" s="2" t="str">
        <x:v>S22</x:v>
      </x:c>
      <x:c r="B28" s="19" t="str">
        <x:v>Repair and installation of machinery and equipment products/services</x:v>
      </x:c>
      <x:c r="C28" s="9" t="n">
        <x:v>3919814.796601823</x:v>
      </x:c>
      <x:c r="D28" s="9" t="n">
        <x:v>-1163064.2600433498</x:v>
      </x:c>
      <x:c r="E28" s="9" t="n">
        <x:f>C28+D28</x:f>
        <x:v>2756750.5365584735</x:v>
      </x:c>
      <x:c r="F28" s="9" t="str">
        <x:v>I_industry_io_tables_2023.xlsx / Total_Supply</x:v>
      </x:c>
    </x:row>
    <x:row r="29" ht="42" customHeight="1">
      <x:c r="A29" s="2" t="str">
        <x:v>S23</x:v>
      </x:c>
      <x:c r="B29" s="19" t="str">
        <x:v>Electricity, gas, steam and air conditioning supply</x:v>
      </x:c>
      <x:c r="C29" s="9" t="n">
        <x:v>70856531.99286951</x:v>
      </x:c>
      <x:c r="D29" s="9" t="n">
        <x:v>-93626072.76997243</x:v>
      </x:c>
      <x:c r="E29" s="9" t="n">
        <x:f>C29+D29</x:f>
        <x:v>-22769540.777102917</x:v>
      </x:c>
      <x:c r="F29" s="9" t="str">
        <x:v>I_industry_io_tables_2023.xlsx / Total_Supply</x:v>
      </x:c>
    </x:row>
    <x:row r="30" ht="42" customHeight="1">
      <x:c r="A30" s="2" t="str">
        <x:v>S24</x:v>
      </x:c>
      <x:c r="B30" s="19" t="str">
        <x:v>Water collection, treatment and supply</x:v>
      </x:c>
      <x:c r="C30" s="9" t="n">
        <x:v>834707.3792682699</x:v>
      </x:c>
      <x:c r="D30" s="9" t="n">
        <x:v>102312.29528385255</x:v>
      </x:c>
      <x:c r="E30" s="9" t="n">
        <x:f>C30+D30</x:f>
        <x:v>937019.6745521224</x:v>
      </x:c>
      <x:c r="F30" s="9" t="str">
        <x:v>I_industry_io_tables_2023.xlsx / Total_Supply</x:v>
      </x:c>
    </x:row>
    <x:row r="31" ht="42" customHeight="1">
      <x:c r="A31" s="2" t="str">
        <x:v>S25</x:v>
      </x:c>
      <x:c r="B31" s="19" t="str">
        <x:v>Sewerage, waste management and remediation</x:v>
      </x:c>
      <x:c r="C31" s="9" t="n">
        <x:v>2361625.259655555</x:v>
      </x:c>
      <x:c r="D31" s="9" t="n">
        <x:v>273854.9995543553</x:v>
      </x:c>
      <x:c r="E31" s="9" t="n">
        <x:f>C31+D31</x:f>
        <x:v>2635480.25920991</x:v>
      </x:c>
      <x:c r="F31" s="9" t="str">
        <x:v>I_industry_io_tables_2023.xlsx / Total_Supply</x:v>
      </x:c>
    </x:row>
    <x:row r="32" ht="42" customHeight="1">
      <x:c r="A32" s="2" t="str">
        <x:v>S26</x:v>
      </x:c>
      <x:c r="B32" s="19" t="str">
        <x:v>Construction</x:v>
      </x:c>
      <x:c r="C32" s="9" t="n">
        <x:v>44651318.42581016</x:v>
      </x:c>
      <x:c r="D32" s="9" t="n">
        <x:v>9674349.777801447</x:v>
      </x:c>
      <x:c r="E32" s="9" t="n">
        <x:f>C32+D32</x:f>
        <x:v>54325668.203611605</x:v>
      </x:c>
      <x:c r="F32" s="9" t="str">
        <x:v>I_industry_io_tables_2023.xlsx / Total_Supply</x:v>
      </x:c>
    </x:row>
    <x:row r="33" ht="42" customHeight="1">
      <x:c r="A33" s="2" t="str">
        <x:v>S27</x:v>
      </x:c>
      <x:c r="B33" s="19" t="str">
        <x:v>Wholesale and retail trade and repair of motor vehicles</x:v>
      </x:c>
      <x:c r="C33" s="9" t="n">
        <x:v>7141115.075831615</x:v>
      </x:c>
      <x:c r="D33" s="9" t="n">
        <x:v>1370610.2875870487</x:v>
      </x:c>
      <x:c r="E33" s="9" t="n">
        <x:f>C33+D33</x:f>
        <x:v>8511725.363418665</x:v>
      </x:c>
      <x:c r="F33" s="9" t="str">
        <x:v>I_industry_io_tables_2023.xlsx / Total_Supply</x:v>
      </x:c>
    </x:row>
    <x:row r="34" ht="42" customHeight="1">
      <x:c r="A34" s="2" t="str">
        <x:v>S28</x:v>
      </x:c>
      <x:c r="B34" s="19" t="str">
        <x:v>Wholesale trade, except motor vehicles</x:v>
      </x:c>
      <x:c r="C34" s="9" t="n">
        <x:v>20893376.442648366</x:v>
      </x:c>
      <x:c r="D34" s="9" t="n">
        <x:v>4658252.368960645</x:v>
      </x:c>
      <x:c r="E34" s="9" t="n">
        <x:f>C34+D34</x:f>
        <x:v>25551628.81160901</x:v>
      </x:c>
      <x:c r="F34" s="9" t="str">
        <x:v>I_industry_io_tables_2023.xlsx / Total_Supply</x:v>
      </x:c>
    </x:row>
    <x:row r="35" ht="42" customHeight="1">
      <x:c r="A35" s="2" t="str">
        <x:v>S29</x:v>
      </x:c>
      <x:c r="B35" s="19" t="str">
        <x:v>Retail trade, except motor vehicles</x:v>
      </x:c>
      <x:c r="C35" s="9" t="n">
        <x:v>11309659.690284194</x:v>
      </x:c>
      <x:c r="D35" s="9" t="n">
        <x:v>4950878.935821771</x:v>
      </x:c>
      <x:c r="E35" s="9" t="n">
        <x:f>C35+D35</x:f>
        <x:v>16260538.626105964</x:v>
      </x:c>
      <x:c r="F35" s="9" t="str">
        <x:v>I_industry_io_tables_2023.xlsx / Total_Supply</x:v>
      </x:c>
    </x:row>
    <x:row r="36" ht="42" customHeight="1">
      <x:c r="A36" s="2" t="str">
        <x:v>S30</x:v>
      </x:c>
      <x:c r="B36" s="19" t="str">
        <x:v>Land transport and transport via pipelines</x:v>
      </x:c>
      <x:c r="C36" s="9" t="n">
        <x:v>28811349.289375596</x:v>
      </x:c>
      <x:c r="D36" s="9" t="n">
        <x:v>-92409189.80423594</x:v>
      </x:c>
      <x:c r="E36" s="9" t="n">
        <x:f>C36+D36</x:f>
        <x:v>-63597840.51486034</x:v>
      </x:c>
      <x:c r="F36" s="9" t="str">
        <x:v>I_industry_io_tables_2023.xlsx / Total_Supply</x:v>
      </x:c>
    </x:row>
    <x:row r="37" ht="42" customHeight="1">
      <x:c r="A37" s="2" t="str">
        <x:v>S31</x:v>
      </x:c>
      <x:c r="B37" s="19" t="str">
        <x:v>Water transport</x:v>
      </x:c>
      <x:c r="C37" s="9" t="n">
        <x:v>2184835.706513112</x:v>
      </x:c>
      <x:c r="D37" s="9" t="n">
        <x:v>1484319.4224456768</x:v>
      </x:c>
      <x:c r="E37" s="9" t="n">
        <x:f>C37+D37</x:f>
        <x:v>3669155.1289587887</x:v>
      </x:c>
      <x:c r="F37" s="9" t="str">
        <x:v>I_industry_io_tables_2023.xlsx / Total_Supply</x:v>
      </x:c>
    </x:row>
    <x:row r="38" ht="42" customHeight="1">
      <x:c r="A38" s="2" t="str">
        <x:v>S32</x:v>
      </x:c>
      <x:c r="B38" s="19" t="str">
        <x:v>Air transport</x:v>
      </x:c>
      <x:c r="C38" s="9" t="n">
        <x:v>9516133.428514805</x:v>
      </x:c>
      <x:c r="D38" s="9" t="n">
        <x:v>722063.2569802848</x:v>
      </x:c>
      <x:c r="E38" s="9" t="n">
        <x:f>C38+D38</x:f>
        <x:v>10238196.68549509</x:v>
      </x:c>
      <x:c r="F38" s="9" t="str">
        <x:v>I_industry_io_tables_2023.xlsx / Total_Supply</x:v>
      </x:c>
    </x:row>
    <x:row r="39" ht="42" customHeight="1">
      <x:c r="A39" s="2" t="str">
        <x:v>S33</x:v>
      </x:c>
      <x:c r="B39" s="19" t="str">
        <x:v>Warehousing and support activities for transportation</x:v>
      </x:c>
      <x:c r="C39" s="9" t="n">
        <x:v>7581257.472126739</x:v>
      </x:c>
      <x:c r="D39" s="9" t="n">
        <x:v>93905.32239825721</x:v>
      </x:c>
      <x:c r="E39" s="9" t="n">
        <x:f>C39+D39</x:f>
        <x:v>7675162.794524997</x:v>
      </x:c>
      <x:c r="F39" s="9" t="str">
        <x:v>I_industry_io_tables_2023.xlsx / Total_Supply</x:v>
      </x:c>
    </x:row>
    <x:row r="40" ht="42" customHeight="1">
      <x:c r="A40" s="2" t="str">
        <x:v>S34</x:v>
      </x:c>
      <x:c r="B40" s="19" t="str">
        <x:v>Postal and courier activities</x:v>
      </x:c>
      <x:c r="C40" s="9" t="n">
        <x:v>1982026.943838386</x:v>
      </x:c>
      <x:c r="D40" s="9" t="n">
        <x:v>186701.50256718445</x:v>
      </x:c>
      <x:c r="E40" s="9" t="n">
        <x:f>C40+D40</x:f>
        <x:v>2168728.4464055705</x:v>
      </x:c>
      <x:c r="F40" s="9" t="str">
        <x:v>I_industry_io_tables_2023.xlsx / Total_Supply</x:v>
      </x:c>
    </x:row>
    <x:row r="41" ht="42" customHeight="1">
      <x:c r="A41" s="2" t="str">
        <x:v>S35</x:v>
      </x:c>
      <x:c r="B41" s="19" t="str">
        <x:v>Accommodation and food service activities</x:v>
      </x:c>
      <x:c r="C41" s="9" t="n">
        <x:v>28822790.850726325</x:v>
      </x:c>
      <x:c r="D41" s="9" t="n">
        <x:v>2241058.1884923405</x:v>
      </x:c>
      <x:c r="E41" s="9" t="n">
        <x:f>C41+D41</x:f>
        <x:v>31063849.039218664</x:v>
      </x:c>
      <x:c r="F41" s="9" t="str">
        <x:v>I_industry_io_tables_2023.xlsx / Total_Supply</x:v>
      </x:c>
    </x:row>
    <x:row r="42" ht="42" customHeight="1">
      <x:c r="A42" s="2" t="str">
        <x:v>S36</x:v>
      </x:c>
      <x:c r="B42" s="19" t="str">
        <x:v>Publishing activities</x:v>
      </x:c>
      <x:c r="C42" s="9" t="n">
        <x:v>1024249.6021008184</x:v>
      </x:c>
      <x:c r="D42" s="9" t="n">
        <x:v>110102.91835861914</x:v>
      </x:c>
      <x:c r="E42" s="9" t="n">
        <x:f>C42+D42</x:f>
        <x:v>1134352.5204594375</x:v>
      </x:c>
      <x:c r="F42" s="9" t="str">
        <x:v>I_industry_io_tables_2023.xlsx / Total_Supply</x:v>
      </x:c>
    </x:row>
    <x:row r="43" ht="42" customHeight="1">
      <x:c r="A43" s="2" t="str">
        <x:v>S37</x:v>
      </x:c>
      <x:c r="B43" s="19" t="str">
        <x:v>Audiovisual and broadcasting activities</x:v>
      </x:c>
      <x:c r="C43" s="9" t="n">
        <x:v>14797936.547332196</x:v>
      </x:c>
      <x:c r="D43" s="9" t="n">
        <x:v>450712.27187327424</x:v>
      </x:c>
      <x:c r="E43" s="9" t="n">
        <x:f>C43+D43</x:f>
        <x:v>15248648.81920547</x:v>
      </x:c>
      <x:c r="F43" s="9" t="str">
        <x:v>I_industry_io_tables_2023.xlsx / Total_Supply</x:v>
      </x:c>
    </x:row>
    <x:row r="44" ht="42" customHeight="1">
      <x:c r="A44" s="2" t="str">
        <x:v>S38</x:v>
      </x:c>
      <x:c r="B44" s="19" t="str">
        <x:v>Telecommunications</x:v>
      </x:c>
      <x:c r="C44" s="9" t="n">
        <x:v>4641329.497059665</x:v>
      </x:c>
      <x:c r="D44" s="9" t="n">
        <x:v>5151657.359221421</x:v>
      </x:c>
      <x:c r="E44" s="9" t="n">
        <x:f>C44+D44</x:f>
        <x:v>9792986.856281087</x:v>
      </x:c>
      <x:c r="F44" s="9" t="str">
        <x:v>I_industry_io_tables_2023.xlsx / Total_Supply</x:v>
      </x:c>
    </x:row>
    <x:row r="45" ht="42" customHeight="1">
      <x:c r="A45" s="2" t="str">
        <x:v>S39</x:v>
      </x:c>
      <x:c r="B45" s="19" t="str">
        <x:v>Computer programming and information services</x:v>
      </x:c>
      <x:c r="C45" s="9" t="n">
        <x:v>3392707.7561766016</x:v>
      </x:c>
      <x:c r="D45" s="9" t="n">
        <x:v>250202.76924983368</x:v>
      </x:c>
      <x:c r="E45" s="9" t="n">
        <x:f>C45+D45</x:f>
        <x:v>3642910.5254264353</x:v>
      </x:c>
      <x:c r="F45" s="9" t="str">
        <x:v>I_industry_io_tables_2023.xlsx / Total_Supply</x:v>
      </x:c>
    </x:row>
    <x:row r="46" ht="42" customHeight="1">
      <x:c r="A46" s="2" t="str">
        <x:v>S40</x:v>
      </x:c>
      <x:c r="B46" s="19" t="str">
        <x:v>Financial services, except insurance and pension funding</x:v>
      </x:c>
      <x:c r="C46" s="9" t="n">
        <x:v>31756525.0254198</x:v>
      </x:c>
      <x:c r="D46" s="9" t="n">
        <x:v>-4588206.664685957</x:v>
      </x:c>
      <x:c r="E46" s="9" t="n">
        <x:f>C46+D46</x:f>
        <x:v>27168318.360733844</x:v>
      </x:c>
      <x:c r="F46" s="9" t="str">
        <x:v>I_industry_io_tables_2023.xlsx / Total_Supply</x:v>
      </x:c>
    </x:row>
    <x:row r="47" ht="42" customHeight="1">
      <x:c r="A47" s="2" t="str">
        <x:v>S41</x:v>
      </x:c>
      <x:c r="B47" s="19" t="str">
        <x:v>Insurance, reinsurance and pension funding</x:v>
      </x:c>
      <x:c r="C47" s="9" t="n">
        <x:v>10415267.36029065</x:v>
      </x:c>
      <x:c r="D47" s="9" t="n">
        <x:v>4376960.145511157</x:v>
      </x:c>
      <x:c r="E47" s="9" t="n">
        <x:f>C47+D47</x:f>
        <x:v>14792227.505801808</x:v>
      </x:c>
      <x:c r="F47" s="9" t="str">
        <x:v>I_industry_io_tables_2023.xlsx / Total_Supply</x:v>
      </x:c>
    </x:row>
    <x:row r="48" ht="42" customHeight="1">
      <x:c r="A48" s="2" t="str">
        <x:v>S42</x:v>
      </x:c>
      <x:c r="B48" s="19" t="str">
        <x:v>Activities auxiliary to financial services and insurance</x:v>
      </x:c>
      <x:c r="C48" s="9" t="n">
        <x:v>2726673.3896466787</x:v>
      </x:c>
      <x:c r="D48" s="9" t="n">
        <x:v>25730947.965705507</x:v>
      </x:c>
      <x:c r="E48" s="9" t="n">
        <x:f>C48+D48</x:f>
        <x:v>28457621.355352186</x:v>
      </x:c>
      <x:c r="F48" s="9" t="str">
        <x:v>I_industry_io_tables_2023.xlsx / Total_Supply</x:v>
      </x:c>
    </x:row>
    <x:row r="49" ht="42" customHeight="1">
      <x:c r="A49" s="2" t="str">
        <x:v>S43</x:v>
      </x:c>
      <x:c r="B49" s="19" t="str">
        <x:v>Real estate activities excluding imputed rents</x:v>
      </x:c>
      <x:c r="C49" s="9" t="n">
        <x:v>4777312.972645775</x:v>
      </x:c>
      <x:c r="D49" s="9" t="n">
        <x:v>557621.111890134</x:v>
      </x:c>
      <x:c r="E49" s="9" t="n">
        <x:f>C49+D49</x:f>
        <x:v>5334934.08453591</x:v>
      </x:c>
      <x:c r="F49" s="9" t="str">
        <x:v>I_industry_io_tables_2023.xlsx / Total_Supply</x:v>
      </x:c>
    </x:row>
    <x:row r="50" ht="42" customHeight="1">
      <x:c r="A50" s="2" t="str">
        <x:v>S44</x:v>
      </x:c>
      <x:c r="B50" s="19" t="str">
        <x:v>Imputed rents of owner-occupied dwellings products/services</x:v>
      </x:c>
      <x:c r="C50" s="9" t="n">
        <x:v>3765463.075041824</x:v>
      </x:c>
      <x:c r="D50" s="9" t="n">
        <x:v>13571769.846601957</x:v>
      </x:c>
      <x:c r="E50" s="9" t="n">
        <x:f>C50+D50</x:f>
        <x:v>17337232.921643782</x:v>
      </x:c>
      <x:c r="F50" s="9" t="str">
        <x:v>I_industry_io_tables_2023.xlsx / Total_Supply</x:v>
      </x:c>
    </x:row>
    <x:row r="51" ht="42" customHeight="1">
      <x:c r="A51" s="2" t="str">
        <x:v>S45</x:v>
      </x:c>
      <x:c r="B51" s="19" t="str">
        <x:v>Legal, accounting and management consultancy activities</x:v>
      </x:c>
      <x:c r="C51" s="9" t="n">
        <x:v>2857008.812231447</x:v>
      </x:c>
      <x:c r="D51" s="9" t="n">
        <x:v>870148.5541348088</x:v>
      </x:c>
      <x:c r="E51" s="9" t="n">
        <x:f>C51+D51</x:f>
        <x:v>3727157.366366256</x:v>
      </x:c>
      <x:c r="F51" s="9" t="str">
        <x:v>I_industry_io_tables_2023.xlsx / Total_Supply</x:v>
      </x:c>
    </x:row>
    <x:row r="52" ht="42" customHeight="1">
      <x:c r="A52" s="2" t="str">
        <x:v>S46</x:v>
      </x:c>
      <x:c r="B52" s="19" t="str">
        <x:v>Architectural and engineering activities; technical testing</x:v>
      </x:c>
      <x:c r="C52" s="9" t="n">
        <x:v>2643946.841618041</x:v>
      </x:c>
      <x:c r="D52" s="9" t="n">
        <x:v>6075457.751566874</x:v>
      </x:c>
      <x:c r="E52" s="9" t="n">
        <x:f>C52+D52</x:f>
        <x:v>8719404.593184914</x:v>
      </x:c>
      <x:c r="F52" s="9" t="str">
        <x:v>I_industry_io_tables_2023.xlsx / Total_Supply</x:v>
      </x:c>
    </x:row>
    <x:row r="53" ht="42" customHeight="1">
      <x:c r="A53" s="2" t="str">
        <x:v>S47</x:v>
      </x:c>
      <x:c r="B53" s="19" t="str">
        <x:v>Scientific research and development</x:v>
      </x:c>
      <x:c r="C53" s="9" t="n">
        <x:v>242203.9892055229</x:v>
      </x:c>
      <x:c r="D53" s="9" t="n">
        <x:v>16328.140904319207</x:v>
      </x:c>
      <x:c r="E53" s="9" t="n">
        <x:f>C53+D53</x:f>
        <x:v>258532.1301098421</x:v>
      </x:c>
      <x:c r="F53" s="9" t="str">
        <x:v>I_industry_io_tables_2023.xlsx / Total_Supply</x:v>
      </x:c>
    </x:row>
    <x:row r="54" ht="42" customHeight="1">
      <x:c r="A54" s="2" t="str">
        <x:v>S48</x:v>
      </x:c>
      <x:c r="B54" s="19" t="str">
        <x:v>Advertising and market research</x:v>
      </x:c>
      <x:c r="C54" s="9" t="n">
        <x:v>4304219.781380347</x:v>
      </x:c>
      <x:c r="D54" s="9" t="n">
        <x:v>282008.60677591915</x:v>
      </x:c>
      <x:c r="E54" s="9" t="n">
        <x:f>C54+D54</x:f>
        <x:v>4586228.388156266</x:v>
      </x:c>
      <x:c r="F54" s="9" t="str">
        <x:v>I_industry_io_tables_2023.xlsx / Total_Supply</x:v>
      </x:c>
    </x:row>
    <x:row r="55" ht="42" customHeight="1">
      <x:c r="A55" s="2" t="str">
        <x:v>S49</x:v>
      </x:c>
      <x:c r="B55" s="19" t="str">
        <x:v>Other professional, scientific, technical and veterinary activities</x:v>
      </x:c>
      <x:c r="C55" s="9" t="n">
        <x:v>497193.34942664154</x:v>
      </x:c>
      <x:c r="D55" s="9" t="n">
        <x:v>112359.71577818747</x:v>
      </x:c>
      <x:c r="E55" s="9" t="n">
        <x:f>C55+D55</x:f>
        <x:v>609553.065204829</x:v>
      </x:c>
      <x:c r="F55" s="9" t="str">
        <x:v>I_industry_io_tables_2023.xlsx / Total_Supply</x:v>
      </x:c>
    </x:row>
    <x:row r="56" ht="42" customHeight="1">
      <x:c r="A56" s="2" t="str">
        <x:v>S50</x:v>
      </x:c>
      <x:c r="B56" s="19" t="str">
        <x:v>Rental and leasing activities</x:v>
      </x:c>
      <x:c r="C56" s="9" t="n">
        <x:v>2491866.7175289043</x:v>
      </x:c>
      <x:c r="D56" s="9" t="n">
        <x:v>689434.9867826661</x:v>
      </x:c>
      <x:c r="E56" s="9" t="n">
        <x:f>C56+D56</x:f>
        <x:v>3181301.70431157</x:v>
      </x:c>
      <x:c r="F56" s="9" t="str">
        <x:v>I_industry_io_tables_2023.xlsx / Total_Supply</x:v>
      </x:c>
    </x:row>
    <x:row r="57" ht="42" customHeight="1">
      <x:c r="A57" s="2" t="str">
        <x:v>S51</x:v>
      </x:c>
      <x:c r="B57" s="19" t="str">
        <x:v>Employment activities</x:v>
      </x:c>
      <x:c r="C57" s="9" t="n">
        <x:v>579334.7195478311</x:v>
      </x:c>
      <x:c r="D57" s="9" t="n">
        <x:v>34948.09647111315</x:v>
      </x:c>
      <x:c r="E57" s="9" t="n">
        <x:f>C57+D57</x:f>
        <x:v>614282.8160189443</x:v>
      </x:c>
      <x:c r="F57" s="9" t="str">
        <x:v>I_industry_io_tables_2023.xlsx / Total_Supply</x:v>
      </x:c>
    </x:row>
    <x:row r="58" ht="42" customHeight="1">
      <x:c r="A58" s="2" t="str">
        <x:v>S52</x:v>
      </x:c>
      <x:c r="B58" s="19" t="str">
        <x:v>Travel agencies, tour operators and reservation services</x:v>
      </x:c>
      <x:c r="C58" s="9" t="n">
        <x:v>4165581.016844516</x:v>
      </x:c>
      <x:c r="D58" s="9" t="n">
        <x:v>408527.891291094</x:v>
      </x:c>
      <x:c r="E58" s="9" t="n">
        <x:f>C58+D58</x:f>
        <x:v>4574108.90813561</x:v>
      </x:c>
      <x:c r="F58" s="9" t="str">
        <x:v>I_industry_io_tables_2023.xlsx / Total_Supply</x:v>
      </x:c>
    </x:row>
    <x:row r="59" ht="42" customHeight="1">
      <x:c r="A59" s="2" t="str">
        <x:v>S53</x:v>
      </x:c>
      <x:c r="B59" s="19" t="str">
        <x:v>Security, building services and administrative support</x:v>
      </x:c>
      <x:c r="C59" s="9" t="n">
        <x:v>3282419.575905395</x:v>
      </x:c>
      <x:c r="D59" s="9" t="n">
        <x:v>954054.5132594242</x:v>
      </x:c>
      <x:c r="E59" s="9" t="n">
        <x:f>C59+D59</x:f>
        <x:v>4236474.08916482</x:v>
      </x:c>
      <x:c r="F59" s="9" t="str">
        <x:v>I_industry_io_tables_2023.xlsx / Total_Supply</x:v>
      </x:c>
    </x:row>
    <x:row r="60" ht="42" customHeight="1">
      <x:c r="A60" s="2" t="str">
        <x:v>S54</x:v>
      </x:c>
      <x:c r="B60" s="19" t="str">
        <x:v>Public administration and defence; compulsory social security</x:v>
      </x:c>
      <x:c r="C60" s="9" t="n">
        <x:v>12797127.78078491</x:v>
      </x:c>
      <x:c r="D60" s="9" t="n">
        <x:v>2383913.840730504</x:v>
      </x:c>
      <x:c r="E60" s="9" t="n">
        <x:f>C60+D60</x:f>
        <x:v>15181041.621515416</x:v>
      </x:c>
      <x:c r="F60" s="9" t="str">
        <x:v>I_industry_io_tables_2023.xlsx / Total_Supply</x:v>
      </x:c>
    </x:row>
    <x:row r="61" ht="42" customHeight="1">
      <x:c r="A61" s="2" t="str">
        <x:v>S55</x:v>
      </x:c>
      <x:c r="B61" s="19" t="str">
        <x:v>Education</x:v>
      </x:c>
      <x:c r="C61" s="9" t="n">
        <x:v>4336635.741415062</x:v>
      </x:c>
      <x:c r="D61" s="9" t="n">
        <x:v>304712.7614207856</x:v>
      </x:c>
      <x:c r="E61" s="9" t="n">
        <x:f>C61+D61</x:f>
        <x:v>4641348.502835847</x:v>
      </x:c>
      <x:c r="F61" s="9" t="str">
        <x:v>I_industry_io_tables_2023.xlsx / Total_Supply</x:v>
      </x:c>
    </x:row>
    <x:row r="62" ht="42" customHeight="1">
      <x:c r="A62" s="2" t="str">
        <x:v>S56</x:v>
      </x:c>
      <x:c r="B62" s="19" t="str">
        <x:v>Human health activities products/services</x:v>
      </x:c>
      <x:c r="C62" s="9" t="n">
        <x:v>5822874.588703548</x:v>
      </x:c>
      <x:c r="D62" s="9" t="n">
        <x:v>1248965.7498833332</x:v>
      </x:c>
      <x:c r="E62" s="9" t="n">
        <x:f>C62+D62</x:f>
        <x:v>7071840.338586881</x:v>
      </x:c>
      <x:c r="F62" s="9" t="str">
        <x:v>I_industry_io_tables_2023.xlsx / Total_Supply</x:v>
      </x:c>
    </x:row>
    <x:row r="63" ht="42" customHeight="1">
      <x:c r="A63" s="2" t="str">
        <x:v>S57</x:v>
      </x:c>
      <x:c r="B63" s="19" t="str">
        <x:v>Residential care and social work activities</x:v>
      </x:c>
      <x:c r="C63" s="9" t="n">
        <x:v>406046.5326082981</x:v>
      </x:c>
      <x:c r="D63" s="9" t="n">
        <x:v>28405.531660903776</x:v>
      </x:c>
      <x:c r="E63" s="9" t="n">
        <x:f>C63+D63</x:f>
        <x:v>434452.0642692019</x:v>
      </x:c>
      <x:c r="F63" s="9" t="str">
        <x:v>I_industry_io_tables_2023.xlsx / Total_Supply</x:v>
      </x:c>
    </x:row>
    <x:row r="64" ht="42" customHeight="1">
      <x:c r="A64" s="2" t="str">
        <x:v>S58</x:v>
      </x:c>
      <x:c r="B64" s="19" t="str">
        <x:v>Arts, entertainment and recreation activities</x:v>
      </x:c>
      <x:c r="C64" s="9" t="n">
        <x:v>2332978.0117620872</x:v>
      </x:c>
      <x:c r="D64" s="9" t="n">
        <x:v>49382.326303047</x:v>
      </x:c>
      <x:c r="E64" s="9" t="n">
        <x:f>C64+D64</x:f>
        <x:v>2382360.3380651344</x:v>
      </x:c>
      <x:c r="F64" s="9" t="str">
        <x:v>I_industry_io_tables_2023.xlsx / Total_Supply</x:v>
      </x:c>
    </x:row>
    <x:row r="65" ht="42" customHeight="1">
      <x:c r="A65" s="2" t="str">
        <x:v>S59</x:v>
      </x:c>
      <x:c r="B65" s="19" t="str">
        <x:v>Sports, amusement and recreation activities</x:v>
      </x:c>
      <x:c r="C65" s="9" t="n">
        <x:v>1146264.411998123</x:v>
      </x:c>
      <x:c r="D65" s="9" t="n">
        <x:v>117147.22265729803</x:v>
      </x:c>
      <x:c r="E65" s="9" t="n">
        <x:f>C65+D65</x:f>
        <x:v>1263411.634655421</x:v>
      </x:c>
      <x:c r="F65" s="9" t="str">
        <x:v>I_industry_io_tables_2023.xlsx / Total_Supply</x:v>
      </x:c>
    </x:row>
    <x:row r="66" ht="42" customHeight="1">
      <x:c r="A66" s="2" t="str">
        <x:v>S60</x:v>
      </x:c>
      <x:c r="B66" s="19" t="str">
        <x:v>Activities of membership organisations</x:v>
      </x:c>
      <x:c r="C66" s="9" t="n">
        <x:v>1369246.0356408763</x:v>
      </x:c>
      <x:c r="D66" s="9" t="n">
        <x:v>183596.2604724618</x:v>
      </x:c>
      <x:c r="E66" s="9" t="n">
        <x:f>C66+D66</x:f>
        <x:v>1552842.296113338</x:v>
      </x:c>
      <x:c r="F66" s="9" t="str">
        <x:v>I_industry_io_tables_2023.xlsx / Total_Supply</x:v>
      </x:c>
    </x:row>
    <x:row r="67" ht="42" customHeight="1">
      <x:c r="A67" s="2" t="str">
        <x:v>S61</x:v>
      </x:c>
      <x:c r="B67" s="19" t="str">
        <x:v>Repair of computers and personal and household goods</x:v>
      </x:c>
      <x:c r="C67" s="9" t="n">
        <x:v>685216.4577158045</x:v>
      </x:c>
      <x:c r="D67" s="9" t="n">
        <x:v>168318.55186291842</x:v>
      </x:c>
      <x:c r="E67" s="9" t="n">
        <x:f>C67+D67</x:f>
        <x:v>853535.0095787229</x:v>
      </x:c>
      <x:c r="F67" s="9" t="str">
        <x:v>I_industry_io_tables_2023.xlsx / Total_Supply</x:v>
      </x:c>
    </x:row>
    <x:row r="68" ht="42" customHeight="1">
      <x:c r="A68" s="2" t="str">
        <x:v>S62</x:v>
      </x:c>
      <x:c r="B68" s="19" t="str">
        <x:v>Other personal service activities</x:v>
      </x:c>
      <x:c r="C68" s="9" t="n">
        <x:v>710302.2106311405</x:v>
      </x:c>
      <x:c r="D68" s="9" t="n">
        <x:v>406218.73557655426</x:v>
      </x:c>
      <x:c r="E68" s="9" t="n">
        <x:f>C68+D68</x:f>
        <x:v>1116520.9462076947</x:v>
      </x:c>
      <x:c r="F68" s="9" t="str">
        <x:v>I_industry_io_tables_2023.xlsx / Total_Supply</x:v>
      </x:c>
    </x:row>
    <x:row r="69" ht="42" customHeight="1">
      <x:c r="A69" s="2" t="str">
        <x:v>S63</x:v>
      </x:c>
      <x:c r="B69" s="19" t="str">
        <x:v>Activities of households as employers and for own use</x:v>
      </x:c>
      <x:c r="C69" s="9" t="n">
        <x:v>0</x:v>
      </x:c>
      <x:c r="D69" s="9" t="n">
        <x:v>0</x:v>
      </x:c>
      <x:c r="E69" s="9" t="n">
        <x:f>C69+D69</x:f>
        <x:v>0</x:v>
      </x:c>
      <x:c r="F69" s="9" t="str">
        <x:v>I_industry_io_tables_2023.xlsx / Total_Supply</x:v>
      </x:c>
    </x:row>
    <x:row r="70" ht="42" customHeight="1">
      <x:c r="A70" s="2" t="str">
        <x:v>HOH</x:v>
      </x:c>
      <x:c r="B70" s="19" t="str">
        <x:v>Household</x:v>
      </x:c>
      <x:c r="C70" s="9" t="n">
        <x:v>1396394534.7647357</x:v>
      </x:c>
      <x:c r="D70" s="9" t="n">
        <x:v>0</x:v>
      </x:c>
      <x:c r="E70" s="9" t="n">
        <x:f>C70+D70</x:f>
        <x:v>1396394534.7647357</x:v>
      </x:c>
      <x:c r="F70" s="9" t="str">
        <x:v>I_industry_io_tables_2023.xlsx / Total_Supply</x:v>
      </x:c>
    </x:row>
    <x:row r="71" ht="42" customHeight="1">
      <x:c r="A71" s="2" t="str">
        <x:v>GOV</x:v>
      </x:c>
      <x:c r="B71" s="19" t="str">
        <x:v>Government</x:v>
      </x:c>
      <x:c r="C71" s="9" t="n">
        <x:v>97123096.88386586</x:v>
      </x:c>
      <x:c r="D71" s="9" t="n">
        <x:v>0</x:v>
      </x:c>
      <x:c r="E71" s="9" t="n">
        <x:f>C71+D71</x:f>
        <x:v>97123096.88386586</x:v>
      </x:c>
      <x:c r="F71" s="9" t="str">
        <x:v>I_industry_io_tables_2023.xlsx / Total_Supply</x:v>
      </x:c>
    </x:row>
    <x:row r="72" ht="42" customHeight="1">
      <x:c r="A72" s="2" t="str">
        <x:v>INV</x:v>
      </x:c>
      <x:c r="B72" s="19" t="str">
        <x:v>Investment</x:v>
      </x:c>
      <x:c r="C72" s="9" t="n">
        <x:v>952226679.8391796</x:v>
      </x:c>
      <x:c r="D72" s="9" t="n">
        <x:v>0</x:v>
      </x:c>
      <x:c r="E72" s="9" t="n">
        <x:f>C72+D72</x:f>
        <x:v>952226679.8391796</x:v>
      </x:c>
      <x:c r="F72" s="9" t="str">
        <x:v>I_industry_io_tables_2023.xlsx / Total_Supply</x:v>
      </x:c>
    </x:row>
    <x:row r="73" ht="42" customHeight="1">
      <x:c r="A73" s="2" t="str">
        <x:v>EXT</x:v>
      </x:c>
      <x:c r="B73" s="19" t="str">
        <x:v>Exports</x:v>
      </x:c>
      <x:c r="C73" s="9" t="n">
        <x:v>0</x:v>
      </x:c>
      <x:c r="D73" s="9" t="n">
        <x:v>0</x:v>
      </x:c>
      <x:c r="E73" s="9" t="n">
        <x:f>C73+D73</x:f>
        <x:v>0</x:v>
      </x:c>
      <x:c r="F73" s="9" t="str">
        <x:v>I_industry_io_tables_2023.xlsx / Total_Supply</x:v>
      </x:c>
    </x:row>
    <x:row r="74" ht="22" customHeight="1">
      <x:c r="A74" s="2"/>
      <x:c r="B74" s="9"/>
      <x:c r="C74" s="9"/>
      <x:c r="D74" s="9"/>
      <x:c r="E74" s="9"/>
      <x:c r="F74" s="9"/>
    </x:row>
    <x:row r="75" ht="22" customHeight="1">
      <x:c r="A75" s="2"/>
      <x:c r="B75" s="9"/>
      <x:c r="C75" s="9"/>
      <x:c r="D75" s="9"/>
      <x:c r="E75" s="9"/>
      <x:c r="F75" s="9"/>
    </x:row>
    <x:row r="76" ht="22" customHeight="1">
      <x:c r="A76" s="2"/>
      <x:c r="B76" s="9"/>
      <x:c r="C76" s="9"/>
      <x:c r="D76" s="9"/>
      <x:c r="E76" s="9"/>
      <x:c r="F76" s="9"/>
    </x:row>
    <x:row r="77" ht="42" customHeight="1">
      <x:c r="A77" s="18" t="str">
        <x:v>Transaction</x:v>
      </x:c>
      <x:c r="B77" s="19" t="str">
        <x:v>Value</x:v>
      </x:c>
      <x:c r="C77" s="19" t="str">
        <x:v>Unit</x:v>
      </x:c>
      <x:c r="D77" s="19" t="str">
        <x:v>Institutional side</x:v>
      </x:c>
      <x:c r="E77" s="19" t="str">
        <x:v>Source cell</x:v>
      </x:c>
      <x:c r="F77" s="19" t="str">
        <x:v>Source workbook / sheet</x:v>
      </x:c>
    </x:row>
    <x:row r="78" ht="42" customHeight="1">
      <x:c r="A78" s="18" t="str">
        <x:v>D.5</x:v>
      </x:c>
      <x:c r="B78" s="19" t="n">
        <x:v>1762053126.8570008</x:v>
      </x:c>
      <x:c r="C78" s="19" t="str">
        <x:v>thousand TRY</x:v>
      </x:c>
      <x:c r="D78" s="19" t="str">
        <x:v>General government resources</x:v>
      </x:c>
      <x:c r="E78" s="19" t="str">
        <x:v>L48</x:v>
      </x:c>
      <x:c r="F78" s="19" t="str">
        <x:v>TurkStat 2023 institutional accounts / t_2023</x:v>
      </x:c>
    </x:row>
    <x:row r="79" ht="42" customHeight="1">
      <x:c r="A79" s="18" t="str">
        <x:v>D.5 HOH</x:v>
      </x:c>
      <x:c r="B79" s="19" t="n">
        <x:v>811340498.6990705</x:v>
      </x:c>
      <x:c r="C79" s="19" t="str">
        <x:v>thousand TRY</x:v>
      </x:c>
      <x:c r="D79" s="19" t="str">
        <x:v>Household uses; excluded from the model input</x:v>
      </x:c>
      <x:c r="E79" s="19" t="str">
        <x:v>D48</x:v>
      </x:c>
      <x:c r="F79" s="19" t="str">
        <x:v>TurkStat 2023 institutional accounts / t_2023</x:v>
      </x:c>
    </x:row>
    <x:row r="80" ht="42" customHeight="1">
      <x:c r="A80" s="18" t="str">
        <x:v>D.51</x:v>
      </x:c>
      <x:c r="B80" s="19" t="n">
        <x:v>1655845782.4752302</x:v>
      </x:c>
      <x:c r="C80" s="19" t="str">
        <x:v>thousand TRY</x:v>
      </x:c>
      <x:c r="D80" s="19" t="str">
        <x:v>General government resources</x:v>
      </x:c>
      <x:c r="E80" s="19" t="str">
        <x:v>L49</x:v>
      </x:c>
      <x:c r="F80" s="19" t="str">
        <x:v>TurkStat 2023 institutional accounts / t_2023</x:v>
      </x:c>
    </x:row>
    <x:row r="81" ht="42" customHeight="1">
      <x:c r="A81" s="18" t="str">
        <x:v>D.59</x:v>
      </x:c>
      <x:c r="B81" s="19" t="n">
        <x:v>106207344.38177049</x:v>
      </x:c>
      <x:c r="C81" s="19" t="str">
        <x:v>thousand TRY</x:v>
      </x:c>
      <x:c r="D81" s="19" t="str">
        <x:v>General government resources</x:v>
      </x:c>
      <x:c r="E81" s="19" t="str">
        <x:v>L50</x:v>
      </x:c>
      <x:c r="F81" s="19" t="str">
        <x:v>TurkStat 2023 institutional accounts / t_2023</x:v>
      </x:c>
    </x:row>
    <x:row r="82" ht="22" customHeight="1">
      <x:c r="A82" s="2"/>
      <x:c r="B82" s="9"/>
      <x:c r="C82" s="9"/>
      <x:c r="D82" s="9"/>
      <x:c r="E82" s="9"/>
      <x:c r="F82" s="9"/>
    </x:row>
    <x:row r="83" ht="22" customHeight="1">
      <x:c r="A83" s="2"/>
      <x:c r="B83" s="9"/>
      <x:c r="C83" s="9"/>
      <x:c r="D83" s="9"/>
      <x:c r="E83" s="9"/>
      <x:c r="F83" s="9"/>
    </x:row>
    <x:row r="84" ht="22" customHeight="1">
      <x:c r="A84" s="2" t="str">
        <x:v>TurkStat statistical release</x:v>
      </x:c>
      <x:c r="B84" s="9" t="str">
        <x:v>https://veriportali.tuik.gov.tr/tr/press/57929</x:v>
      </x:c>
      <x:c r="C84" s="9"/>
      <x:c r="D84" s="9"/>
      <x:c r="E84" s="9"/>
      <x:c r="F84" s="9"/>
    </x:row>
    <x:row r="85" ht="22" customHeight="1">
      <x:c r="A85" s="2" t="str">
        <x:v>Release / reference period</x:v>
      </x:c>
      <x:c r="B85" s="9" t="str">
        <x:v>9 October 2025 / 2023</x:v>
      </x:c>
      <x:c r="C85" s="9"/>
      <x:c r="D85" s="9"/>
      <x:c r="E85" s="9"/>
      <x:c r="F85" s="9"/>
    </x:row>
    <x:row r="86" ht="22" customHeight="1">
      <x:c r="A86" s="2" t="str">
        <x:v>Method</x:v>
      </x:c>
      <x:c r="B86" s="9" t="str">
        <x:v>Hosoe et al. (2010), Chapter 4, pp. 47–56; Japan Tables 4.4–4.5.C</x:v>
      </x:c>
      <x:c r="C86" s="9"/>
      <x:c r="D86" s="9"/>
      <x:c r="E86" s="9"/>
      <x:c r="F86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22" customHeight="1">
      <x:c r="A2" s="3" t="str">
        <x:v>Account balance checks</x:v>
      </x:c>
      <x:c r="B2" s="2"/>
      <x:c r="C2" s="2"/>
      <x:c r="D2" s="2"/>
      <x:c r="E2" s="2"/>
      <x:c r="F2" s="2"/>
      <x:c r="G2" s="2"/>
    </x:row>
    <x:row r="3" ht="22" customHeight="1">
      <x:c r="A3" s="4" t="str">
        <x:v>Thousand TRY; absolute tolerance 0.001 thousand TRY = 1 TRY. Source flows preserved.</x:v>
      </x:c>
      <x:c r="B3" s="2"/>
      <x:c r="C3" s="2"/>
      <x:c r="D3" s="2"/>
      <x:c r="E3" s="2"/>
      <x:c r="F3" s="2"/>
      <x:c r="G3" s="2"/>
    </x:row>
    <x:row r="4" ht="22" customHeight="1">
      <x:c r="A4" s="2"/>
      <x:c r="B4" s="2"/>
      <x:c r="C4" s="2"/>
      <x:c r="D4" s="2"/>
      <x:c r="E4" s="2"/>
      <x:c r="F4" s="2"/>
      <x:c r="G4" s="2"/>
    </x:row>
    <x:row r="5" ht="36" customHeight="1">
      <x:c r="A5" s="8" t="str">
        <x:v>Account</x:v>
      </x:c>
      <x:c r="B5" s="8" t="str">
        <x:v>Row total</x:v>
      </x:c>
      <x:c r="C5" s="8" t="str">
        <x:v>Column total</x:v>
      </x:c>
      <x:c r="D5" s="8" t="str">
        <x:v>Difference</x:v>
      </x:c>
      <x:c r="E5" s="8" t="str">
        <x:v>Absolute difference</x:v>
      </x:c>
      <x:c r="F5" s="8" t="str">
        <x:v>Relative difference</x:v>
      </x:c>
      <x:c r="G5" s="8" t="str">
        <x:v>Result</x:v>
      </x:c>
    </x:row>
    <x:row r="6" ht="22" customHeight="1">
      <x:c r="A6" s="2" t="str">
        <x:v>S00</x:v>
      </x:c>
      <x:c r="B6" s="9" t="n">
        <x:f>'SAM_73'!BW6</x:f>
        <x:v>2865510018.704435</x:v>
      </x:c>
      <x:c r="C6" s="9" t="n">
        <x:f>'SAM_73'!B79</x:f>
        <x:v>2865510018.7044387</x:v>
      </x:c>
      <x:c r="D6" s="20" t="n">
        <x:f>B6-C6</x:f>
        <x:v>-0.000003814697265625</x:v>
      </x:c>
      <x:c r="E6" s="20" t="n">
        <x:f>ABS(D6)</x:f>
        <x:v>0.000003814697265625</x:v>
      </x:c>
      <x:c r="F6" s="20" t="n">
        <x:f>E6/MAX(ABS(B6),ABS(C6),1)</x:f>
        <x:v>1.331245481860053e-15</x:v>
      </x:c>
      <x:c r="G6" s="9" t="str">
        <x:f>IF(E6&lt;=0.001,"Pass","Difference detected")</x:f>
        <x:v>Pass</x:v>
      </x:c>
    </x:row>
    <x:row r="7" ht="22" customHeight="1">
      <x:c r="A7" s="2" t="str">
        <x:v>S01</x:v>
      </x:c>
      <x:c r="B7" s="9" t="n">
        <x:f>'SAM_73'!BW7</x:f>
        <x:v>69435713.29015894</x:v>
      </x:c>
      <x:c r="C7" s="9" t="n">
        <x:f>'SAM_73'!C79</x:f>
        <x:v>69435713.290159</x:v>
      </x:c>
      <x:c r="D7" s="20" t="n">
        <x:f>B7-C7</x:f>
        <x:v>-5.960464477539063e-8</x:v>
      </x:c>
      <x:c r="E7" s="20" t="n">
        <x:f>ABS(D7)</x:f>
        <x:v>5.960464477539063e-8</x:v>
      </x:c>
      <x:c r="F7" s="20" t="n">
        <x:f>E7/MAX(ABS(B7),ABS(C7),1)</x:f>
        <x:v>8.584148120768031e-16</x:v>
      </x:c>
      <x:c r="G7" s="9" t="str">
        <x:f>IF(E7&lt;=0.001,"Pass","Difference detected")</x:f>
        <x:v>Pass</x:v>
      </x:c>
    </x:row>
    <x:row r="8" ht="22" customHeight="1">
      <x:c r="A8" s="2" t="str">
        <x:v>S02</x:v>
      </x:c>
      <x:c r="B8" s="9" t="n">
        <x:f>'SAM_73'!BW8</x:f>
        <x:v>69261410.76434305</x:v>
      </x:c>
      <x:c r="C8" s="9" t="n">
        <x:f>'SAM_73'!D79</x:f>
        <x:v>69261410.76434304</x:v>
      </x:c>
      <x:c r="D8" s="20" t="n">
        <x:f>B8-C8</x:f>
        <x:v>1.4901161193847656e-8</x:v>
      </x:c>
      <x:c r="E8" s="20" t="n">
        <x:f>ABS(D8)</x:f>
        <x:v>1.4901161193847656e-8</x:v>
      </x:c>
      <x:c r="F8" s="20" t="n">
        <x:f>E8/MAX(ABS(B8),ABS(C8),1)</x:f>
        <x:v>2.1514377240376725e-16</x:v>
      </x:c>
      <x:c r="G8" s="9" t="str">
        <x:f>IF(E8&lt;=0.001,"Pass","Difference detected")</x:f>
        <x:v>Pass</x:v>
      </x:c>
    </x:row>
    <x:row r="9" ht="22" customHeight="1">
      <x:c r="A9" s="2" t="str">
        <x:v>S03</x:v>
      </x:c>
      <x:c r="B9" s="9" t="n">
        <x:f>'SAM_73'!BW9</x:f>
        <x:v>1526026343.486239</x:v>
      </x:c>
      <x:c r="C9" s="9" t="n">
        <x:f>'SAM_73'!E79</x:f>
        <x:v>1526026343.48624</x:v>
      </x:c>
      <x:c r="D9" s="20" t="n">
        <x:f>B9-C9</x:f>
        <x:v>-9.5367431640625e-7</x:v>
      </x:c>
      <x:c r="E9" s="20" t="n">
        <x:f>ABS(D9)</x:f>
        <x:v>9.5367431640625e-7</x:v>
      </x:c>
      <x:c r="F9" s="20" t="n">
        <x:f>E9/MAX(ABS(B9),ABS(C9),1)</x:f>
        <x:v>6.249396155426521e-16</x:v>
      </x:c>
      <x:c r="G9" s="9" t="str">
        <x:f>IF(E9&lt;=0.001,"Pass","Difference detected")</x:f>
        <x:v>Pass</x:v>
      </x:c>
    </x:row>
    <x:row r="10" ht="22" customHeight="1">
      <x:c r="A10" s="2" t="str">
        <x:v>S04</x:v>
      </x:c>
      <x:c r="B10" s="9" t="n">
        <x:f>'SAM_73'!BW10</x:f>
        <x:v>3114057519.659189</x:v>
      </x:c>
      <x:c r="C10" s="9" t="n">
        <x:f>'SAM_73'!F79</x:f>
        <x:v>3114057519.659195</x:v>
      </x:c>
      <x:c r="D10" s="20" t="n">
        <x:f>B10-C10</x:f>
        <x:v>-0.0000057220458984375</x:v>
      </x:c>
      <x:c r="E10" s="20" t="n">
        <x:f>ABS(D10)</x:f>
        <x:v>0.0000057220458984375</x:v>
      </x:c>
      <x:c r="F10" s="20" t="n">
        <x:f>E10/MAX(ABS(B10),ABS(C10),1)</x:f>
        <x:v>1.837488826816444e-15</x:v>
      </x:c>
      <x:c r="G10" s="9" t="str">
        <x:f>IF(E10&lt;=0.001,"Pass","Difference detected")</x:f>
        <x:v>Pass</x:v>
      </x:c>
    </x:row>
    <x:row r="11" ht="22" customHeight="1">
      <x:c r="A11" s="2" t="str">
        <x:v>S05</x:v>
      </x:c>
      <x:c r="B11" s="9" t="n">
        <x:f>'SAM_73'!BW11</x:f>
        <x:v>2392305146.4110575</x:v>
      </x:c>
      <x:c r="C11" s="9" t="n">
        <x:f>'SAM_73'!G79</x:f>
        <x:v>2392305146.41106</x:v>
      </x:c>
      <x:c r="D11" s="20" t="n">
        <x:f>B11-C11</x:f>
        <x:v>-0.000002384185791015625</x:v>
      </x:c>
      <x:c r="E11" s="20" t="n">
        <x:f>ABS(D11)</x:f>
        <x:v>0.000002384185791015625</x:v>
      </x:c>
      <x:c r="F11" s="20" t="n">
        <x:f>E11/MAX(ABS(B11),ABS(C11),1)</x:f>
        <x:v>9.966060536183623e-16</x:v>
      </x:c>
      <x:c r="G11" s="9" t="str">
        <x:f>IF(E11&lt;=0.001,"Pass","Difference detected")</x:f>
        <x:v>Pass</x:v>
      </x:c>
    </x:row>
    <x:row r="12" ht="22" customHeight="1">
      <x:c r="A12" s="2" t="str">
        <x:v>S06</x:v>
      </x:c>
      <x:c r="B12" s="9" t="n">
        <x:f>'SAM_73'!BW12</x:f>
        <x:v>299266830.57546544</x:v>
      </x:c>
      <x:c r="C12" s="9" t="n">
        <x:f>'SAM_73'!H79</x:f>
        <x:v>299266830.5754659</x:v>
      </x:c>
      <x:c r="D12" s="20" t="n">
        <x:f>B12-C12</x:f>
        <x:v>-4.76837158203125e-7</x:v>
      </x:c>
      <x:c r="E12" s="20" t="n">
        <x:f>ABS(D12)</x:f>
        <x:v>4.76837158203125e-7</x:v>
      </x:c>
      <x:c r="F12" s="20" t="n">
        <x:f>E12/MAX(ABS(B12),ABS(C12),1)</x:f>
        <x:v>1.5933511819074828e-15</x:v>
      </x:c>
      <x:c r="G12" s="9" t="str">
        <x:f>IF(E12&lt;=0.001,"Pass","Difference detected")</x:f>
        <x:v>Pass</x:v>
      </x:c>
    </x:row>
    <x:row r="13" ht="22" customHeight="1">
      <x:c r="A13" s="2" t="str">
        <x:v>S07</x:v>
      </x:c>
      <x:c r="B13" s="9" t="n">
        <x:f>'SAM_73'!BW13</x:f>
        <x:v>543878079.0436813</x:v>
      </x:c>
      <x:c r="C13" s="9" t="n">
        <x:f>'SAM_73'!I79</x:f>
        <x:v>543878079.0436822</x:v>
      </x:c>
      <x:c r="D13" s="20" t="n">
        <x:f>B13-C13</x:f>
        <x:v>-9.5367431640625e-7</x:v>
      </x:c>
      <x:c r="E13" s="20" t="n">
        <x:f>ABS(D13)</x:f>
        <x:v>9.5367431640625e-7</x:v>
      </x:c>
      <x:c r="F13" s="20" t="n">
        <x:f>E13/MAX(ABS(B13),ABS(C13),1)</x:f>
        <x:v>1.7534707743381113e-15</x:v>
      </x:c>
      <x:c r="G13" s="9" t="str">
        <x:f>IF(E13&lt;=0.001,"Pass","Difference detected")</x:f>
        <x:v>Pass</x:v>
      </x:c>
    </x:row>
    <x:row r="14" ht="22" customHeight="1">
      <x:c r="A14" s="2" t="str">
        <x:v>S08</x:v>
      </x:c>
      <x:c r="B14" s="9" t="n">
        <x:f>'SAM_73'!BW14</x:f>
        <x:v>121180388.63072112</x:v>
      </x:c>
      <x:c r="C14" s="9" t="n">
        <x:f>'SAM_73'!J79</x:f>
        <x:v>121180388.63072136</x:v>
      </x:c>
      <x:c r="D14" s="20" t="n">
        <x:f>B14-C14</x:f>
        <x:v>-2.384185791015625e-7</x:v>
      </x:c>
      <x:c r="E14" s="20" t="n">
        <x:f>ABS(D14)</x:f>
        <x:v>2.384185791015625e-7</x:v>
      </x:c>
      <x:c r="F14" s="20" t="n">
        <x:f>E14/MAX(ABS(B14),ABS(C14),1)</x:f>
        <x:v>1.9674683485964594e-15</x:v>
      </x:c>
      <x:c r="G14" s="9" t="str">
        <x:f>IF(E14&lt;=0.001,"Pass","Difference detected")</x:f>
        <x:v>Pass</x:v>
      </x:c>
    </x:row>
    <x:row r="15" ht="22" customHeight="1">
      <x:c r="A15" s="2" t="str">
        <x:v>S09</x:v>
      </x:c>
      <x:c r="B15" s="9" t="n">
        <x:f>'SAM_73'!BW15</x:f>
        <x:v>1481020712.4404664</x:v>
      </x:c>
      <x:c r="C15" s="9" t="n">
        <x:f>'SAM_73'!K79</x:f>
        <x:v>1481020712.4404693</x:v>
      </x:c>
      <x:c r="D15" s="20" t="n">
        <x:f>B15-C15</x:f>
        <x:v>-0.00000286102294921875</x:v>
      </x:c>
      <x:c r="E15" s="20" t="n">
        <x:f>ABS(D15)</x:f>
        <x:v>0.00000286102294921875</x:v>
      </x:c>
      <x:c r="F15" s="20" t="n">
        <x:f>E15/MAX(ABS(B15),ABS(C15),1)</x:f>
        <x:v>1.931791314723933e-15</x:v>
      </x:c>
      <x:c r="G15" s="9" t="str">
        <x:f>IF(E15&lt;=0.001,"Pass","Difference detected")</x:f>
        <x:v>Pass</x:v>
      </x:c>
    </x:row>
    <x:row r="16" ht="22" customHeight="1">
      <x:c r="A16" s="2" t="str">
        <x:v>S10</x:v>
      </x:c>
      <x:c r="B16" s="9" t="n">
        <x:f>'SAM_73'!BW16</x:f>
        <x:v>1640432240.034044</x:v>
      </x:c>
      <x:c r="C16" s="9" t="n">
        <x:f>'SAM_73'!L79</x:f>
        <x:v>1640432240.0340457</x:v>
      </x:c>
      <x:c r="D16" s="20" t="n">
        <x:f>B16-C16</x:f>
        <x:v>-0.0000016689300537109375</x:v>
      </x:c>
      <x:c r="E16" s="20" t="n">
        <x:f>ABS(D16)</x:f>
        <x:v>0.0000016689300537109375</x:v>
      </x:c>
      <x:c r="F16" s="20" t="n">
        <x:f>E16/MAX(ABS(B16),ABS(C16),1)</x:f>
        <x:v>1.0173721370388942e-15</x:v>
      </x:c>
      <x:c r="G16" s="9" t="str">
        <x:f>IF(E16&lt;=0.001,"Pass","Difference detected")</x:f>
        <x:v>Pass</x:v>
      </x:c>
    </x:row>
    <x:row r="17" ht="22" customHeight="1">
      <x:c r="A17" s="2" t="str">
        <x:v>S11</x:v>
      </x:c>
      <x:c r="B17" s="9" t="n">
        <x:f>'SAM_73'!BW17</x:f>
        <x:v>307369079.5761585</x:v>
      </x:c>
      <x:c r="C17" s="9" t="n">
        <x:f>'SAM_73'!M79</x:f>
        <x:v>307369079.5761586</x:v>
      </x:c>
      <x:c r="D17" s="20" t="n">
        <x:f>B17-C17</x:f>
        <x:v>-5.960464477539063e-8</x:v>
      </x:c>
      <x:c r="E17" s="20" t="n">
        <x:f>ABS(D17)</x:f>
        <x:v>5.960464477539063e-8</x:v>
      </x:c>
      <x:c r="F17" s="20" t="n">
        <x:f>E17/MAX(ABS(B17),ABS(C17),1)</x:f>
        <x:v>1.9391880555318526e-16</x:v>
      </x:c>
      <x:c r="G17" s="9" t="str">
        <x:f>IF(E17&lt;=0.001,"Pass","Difference detected")</x:f>
        <x:v>Pass</x:v>
      </x:c>
    </x:row>
    <x:row r="18" ht="22" customHeight="1">
      <x:c r="A18" s="2" t="str">
        <x:v>S12</x:v>
      </x:c>
      <x:c r="B18" s="9" t="n">
        <x:f>'SAM_73'!BW18</x:f>
        <x:v>1020135260.5059881</x:v>
      </x:c>
      <x:c r="C18" s="9" t="n">
        <x:f>'SAM_73'!N79</x:f>
        <x:v>1020135260.5059896</x:v>
      </x:c>
      <x:c r="D18" s="20" t="n">
        <x:f>B18-C18</x:f>
        <x:v>-0.000001430511474609375</x:v>
      </x:c>
      <x:c r="E18" s="20" t="n">
        <x:f>ABS(D18)</x:f>
        <x:v>0.000001430511474609375</x:v>
      </x:c>
      <x:c r="F18" s="20" t="n">
        <x:f>E18/MAX(ABS(B18),ABS(C18),1)</x:f>
        <x:v>1.4022762764810598e-15</x:v>
      </x:c>
      <x:c r="G18" s="9" t="str">
        <x:f>IF(E18&lt;=0.001,"Pass","Difference detected")</x:f>
        <x:v>Pass</x:v>
      </x:c>
    </x:row>
    <x:row r="19" ht="22" customHeight="1">
      <x:c r="A19" s="2" t="str">
        <x:v>S13</x:v>
      </x:c>
      <x:c r="B19" s="9" t="n">
        <x:f>'SAM_73'!BW19</x:f>
        <x:v>1062588668.5276412</x:v>
      </x:c>
      <x:c r="C19" s="9" t="n">
        <x:f>'SAM_73'!O79</x:f>
        <x:v>1062588668.5276432</x:v>
      </x:c>
      <x:c r="D19" s="20" t="n">
        <x:f>B19-C19</x:f>
        <x:v>-0.0000020265579223632812</x:v>
      </x:c>
      <x:c r="E19" s="20" t="n">
        <x:f>ABS(D19)</x:f>
        <x:v>0.0000020265579223632812</x:v>
      </x:c>
      <x:c r="F19" s="20" t="n">
        <x:f>E19/MAX(ABS(B19),ABS(C19),1)</x:f>
        <x:v>1.9071894726407583e-15</x:v>
      </x:c>
      <x:c r="G19" s="9" t="str">
        <x:f>IF(E19&lt;=0.001,"Pass","Difference detected")</x:f>
        <x:v>Pass</x:v>
      </x:c>
    </x:row>
    <x:row r="20" ht="22" customHeight="1">
      <x:c r="A20" s="2" t="str">
        <x:v>S14</x:v>
      </x:c>
      <x:c r="B20" s="9" t="n">
        <x:f>'SAM_73'!BW20</x:f>
        <x:v>3131001584.6051536</x:v>
      </x:c>
      <x:c r="C20" s="9" t="n">
        <x:f>'SAM_73'!P79</x:f>
        <x:v>3131001584.6051574</x:v>
      </x:c>
      <x:c r="D20" s="20" t="n">
        <x:f>B20-C20</x:f>
        <x:v>-0.000003814697265625</x:v>
      </x:c>
      <x:c r="E20" s="20" t="n">
        <x:f>ABS(D20)</x:f>
        <x:v>0.000003814697265625</x:v>
      </x:c>
      <x:c r="F20" s="20" t="n">
        <x:f>E20/MAX(ABS(B20),ABS(C20),1)</x:f>
        <x:v>1.2183632497605592e-15</x:v>
      </x:c>
      <x:c r="G20" s="9" t="str">
        <x:f>IF(E20&lt;=0.001,"Pass","Difference detected")</x:f>
        <x:v>Pass</x:v>
      </x:c>
    </x:row>
    <x:row r="21" ht="22" customHeight="1">
      <x:c r="A21" s="2" t="str">
        <x:v>S15</x:v>
      </x:c>
      <x:c r="B21" s="9" t="n">
        <x:f>'SAM_73'!BW21</x:f>
        <x:v>1400023458.5538778</x:v>
      </x:c>
      <x:c r="C21" s="9" t="n">
        <x:f>'SAM_73'!Q79</x:f>
        <x:v>1400023458.553879</x:v>
      </x:c>
      <x:c r="D21" s="20" t="n">
        <x:f>B21-C21</x:f>
        <x:v>-0.0000011920928955078125</x:v>
      </x:c>
      <x:c r="E21" s="20" t="n">
        <x:f>ABS(D21)</x:f>
        <x:v>0.0000011920928955078125</x:v>
      </x:c>
      <x:c r="F21" s="20" t="n">
        <x:f>E21/MAX(ABS(B21),ABS(C21),1)</x:f>
        <x:v>8.514806578592309e-16</x:v>
      </x:c>
      <x:c r="G21" s="9" t="str">
        <x:f>IF(E21&lt;=0.001,"Pass","Difference detected")</x:f>
        <x:v>Pass</x:v>
      </x:c>
    </x:row>
    <x:row r="22" ht="22" customHeight="1">
      <x:c r="A22" s="2" t="str">
        <x:v>S16</x:v>
      </x:c>
      <x:c r="B22" s="9" t="n">
        <x:f>'SAM_73'!BW22</x:f>
        <x:v>722237056.8545693</x:v>
      </x:c>
      <x:c r="C22" s="9" t="n">
        <x:f>'SAM_73'!R79</x:f>
        <x:v>722237056.8545702</x:v>
      </x:c>
      <x:c r="D22" s="20" t="n">
        <x:f>B22-C22</x:f>
        <x:v>-8.344650268554688e-7</x:v>
      </x:c>
      <x:c r="E22" s="20" t="n">
        <x:f>ABS(D22)</x:f>
        <x:v>8.344650268554688e-7</x:v>
      </x:c>
      <x:c r="F22" s="20" t="n">
        <x:f>E22/MAX(ABS(B22),ABS(C22),1)</x:f>
        <x:v>1.1553893821090612e-15</x:v>
      </x:c>
      <x:c r="G22" s="9" t="str">
        <x:f>IF(E22&lt;=0.001,"Pass","Difference detected")</x:f>
        <x:v>Pass</x:v>
      </x:c>
    </x:row>
    <x:row r="23" ht="22" customHeight="1">
      <x:c r="A23" s="2" t="str">
        <x:v>S17</x:v>
      </x:c>
      <x:c r="B23" s="9" t="n">
        <x:f>'SAM_73'!BW23</x:f>
        <x:v>1312067406.3437748</x:v>
      </x:c>
      <x:c r="C23" s="9" t="n">
        <x:f>'SAM_73'!S79</x:f>
        <x:v>1312067406.3437762</x:v>
      </x:c>
      <x:c r="D23" s="20" t="n">
        <x:f>B23-C23</x:f>
        <x:v>-0.000001430511474609375</x:v>
      </x:c>
      <x:c r="E23" s="20" t="n">
        <x:f>ABS(D23)</x:f>
        <x:v>0.000001430511474609375</x:v>
      </x:c>
      <x:c r="F23" s="20" t="n">
        <x:f>E23/MAX(ABS(B23),ABS(C23),1)</x:f>
        <x:v>1.0902728531270024e-15</x:v>
      </x:c>
      <x:c r="G23" s="9" t="str">
        <x:f>IF(E23&lt;=0.001,"Pass","Difference detected")</x:f>
        <x:v>Pass</x:v>
      </x:c>
    </x:row>
    <x:row r="24" ht="22" customHeight="1">
      <x:c r="A24" s="2" t="str">
        <x:v>S18</x:v>
      </x:c>
      <x:c r="B24" s="9" t="n">
        <x:f>'SAM_73'!BW24</x:f>
        <x:v>1545797579.0828981</x:v>
      </x:c>
      <x:c r="C24" s="9" t="n">
        <x:f>'SAM_73'!T79</x:f>
        <x:v>1545797579.0829</x:v>
      </x:c>
      <x:c r="D24" s="20" t="n">
        <x:f>B24-C24</x:f>
        <x:v>-0.0000019073486328125</x:v>
      </x:c>
      <x:c r="E24" s="20" t="n">
        <x:f>ABS(D24)</x:f>
        <x:v>0.0000019073486328125</x:v>
      </x:c>
      <x:c r="F24" s="20" t="n">
        <x:f>E24/MAX(ABS(B24),ABS(C24),1)</x:f>
        <x:v>1.233892883920871e-15</x:v>
      </x:c>
      <x:c r="G24" s="9" t="str">
        <x:f>IF(E24&lt;=0.001,"Pass","Difference detected")</x:f>
        <x:v>Pass</x:v>
      </x:c>
    </x:row>
    <x:row r="25" ht="22" customHeight="1">
      <x:c r="A25" s="2" t="str">
        <x:v>S19</x:v>
      </x:c>
      <x:c r="B25" s="9" t="n">
        <x:f>'SAM_73'!BW25</x:f>
        <x:v>2337412973.375476</x:v>
      </x:c>
      <x:c r="C25" s="9" t="n">
        <x:f>'SAM_73'!U79</x:f>
        <x:v>2337412973.3754787</x:v>
      </x:c>
      <x:c r="D25" s="20" t="n">
        <x:f>B25-C25</x:f>
        <x:v>-0.00000286102294921875</x:v>
      </x:c>
      <x:c r="E25" s="20" t="n">
        <x:f>ABS(D25)</x:f>
        <x:v>0.00000286102294921875</x:v>
      </x:c>
      <x:c r="F25" s="20" t="n">
        <x:f>E25/MAX(ABS(B25),ABS(C25),1)</x:f>
        <x:v>1.2240126078735336e-15</x:v>
      </x:c>
      <x:c r="G25" s="9" t="str">
        <x:f>IF(E25&lt;=0.001,"Pass","Difference detected")</x:f>
        <x:v>Pass</x:v>
      </x:c>
    </x:row>
    <x:row r="26" ht="22" customHeight="1">
      <x:c r="A26" s="2" t="str">
        <x:v>S20</x:v>
      </x:c>
      <x:c r="B26" s="9" t="n">
        <x:f>'SAM_73'!BW26</x:f>
        <x:v>606850312.5784143</x:v>
      </x:c>
      <x:c r="C26" s="9" t="n">
        <x:f>'SAM_73'!V79</x:f>
        <x:v>606850312.5784154</x:v>
      </x:c>
      <x:c r="D26" s="20" t="n">
        <x:f>B26-C26</x:f>
        <x:v>-0.0000010728836059570312</x:v>
      </x:c>
      <x:c r="E26" s="20" t="n">
        <x:f>ABS(D26)</x:f>
        <x:v>0.0000010728836059570312</x:v>
      </x:c>
      <x:c r="F26" s="20" t="n">
        <x:f>E26/MAX(ABS(B26),ABS(C26),1)</x:f>
        <x:v>1.7679542775524177e-15</x:v>
      </x:c>
      <x:c r="G26" s="9" t="str">
        <x:f>IF(E26&lt;=0.001,"Pass","Difference detected")</x:f>
        <x:v>Pass</x:v>
      </x:c>
    </x:row>
    <x:row r="27" ht="22" customHeight="1">
      <x:c r="A27" s="2" t="str">
        <x:v>S21</x:v>
      </x:c>
      <x:c r="B27" s="9" t="n">
        <x:f>'SAM_73'!BW27</x:f>
        <x:v>747170210.0175626</x:v>
      </x:c>
      <x:c r="C27" s="9" t="n">
        <x:f>'SAM_73'!W79</x:f>
        <x:v>747170210.0175637</x:v>
      </x:c>
      <x:c r="D27" s="20" t="n">
        <x:f>B27-C27</x:f>
        <x:v>-0.0000010728836059570312</x:v>
      </x:c>
      <x:c r="E27" s="20" t="n">
        <x:f>ABS(D27)</x:f>
        <x:v>0.0000010728836059570312</x:v>
      </x:c>
      <x:c r="F27" s="20" t="n">
        <x:f>E27/MAX(ABS(B27),ABS(C27),1)</x:f>
        <x:v>1.4359293124545357e-15</x:v>
      </x:c>
      <x:c r="G27" s="9" t="str">
        <x:f>IF(E27&lt;=0.001,"Pass","Difference detected")</x:f>
        <x:v>Pass</x:v>
      </x:c>
    </x:row>
    <x:row r="28" ht="22" customHeight="1">
      <x:c r="A28" s="2" t="str">
        <x:v>S22</x:v>
      </x:c>
      <x:c r="B28" s="9" t="n">
        <x:f>'SAM_73'!BW28</x:f>
        <x:v>356178284.28620523</x:v>
      </x:c>
      <x:c r="C28" s="9" t="n">
        <x:f>'SAM_73'!X79</x:f>
        <x:v>356178284.2862058</x:v>
      </x:c>
      <x:c r="D28" s="20" t="n">
        <x:f>B28-C28</x:f>
        <x:v>-5.960464477539062e-7</x:v>
      </x:c>
      <x:c r="E28" s="20" t="n">
        <x:f>ABS(D28)</x:f>
        <x:v>5.960464477539062e-7</x:v>
      </x:c>
      <x:c r="F28" s="20" t="n">
        <x:f>E28/MAX(ABS(B28),ABS(C28),1)</x:f>
        <x:v>1.6734497133883525e-15</x:v>
      </x:c>
      <x:c r="G28" s="9" t="str">
        <x:f>IF(E28&lt;=0.001,"Pass","Difference detected")</x:f>
        <x:v>Pass</x:v>
      </x:c>
    </x:row>
    <x:row r="29" ht="22" customHeight="1">
      <x:c r="A29" s="2" t="str">
        <x:v>S23</x:v>
      </x:c>
      <x:c r="B29" s="9" t="n">
        <x:f>'SAM_73'!BW29</x:f>
        <x:v>2725179712.2987976</x:v>
      </x:c>
      <x:c r="C29" s="9" t="n">
        <x:f>'SAM_73'!Y79</x:f>
        <x:v>2725179712.2988014</x:v>
      </x:c>
      <x:c r="D29" s="20" t="n">
        <x:f>B29-C29</x:f>
        <x:v>-0.000003814697265625</x:v>
      </x:c>
      <x:c r="E29" s="20" t="n">
        <x:f>ABS(D29)</x:f>
        <x:v>0.000003814697265625</x:v>
      </x:c>
      <x:c r="F29" s="20" t="n">
        <x:f>E29/MAX(ABS(B29),ABS(C29),1)</x:f>
        <x:v>1.3997965889769324e-15</x:v>
      </x:c>
      <x:c r="G29" s="9" t="str">
        <x:f>IF(E29&lt;=0.001,"Pass","Difference detected")</x:f>
        <x:v>Pass</x:v>
      </x:c>
    </x:row>
    <x:row r="30" ht="22" customHeight="1">
      <x:c r="A30" s="2" t="str">
        <x:v>S24</x:v>
      </x:c>
      <x:c r="B30" s="9" t="n">
        <x:f>'SAM_73'!BW30</x:f>
        <x:v>85206288.97198911</x:v>
      </x:c>
      <x:c r="C30" s="9" t="n">
        <x:f>'SAM_73'!Z79</x:f>
        <x:v>85206288.97198918</x:v>
      </x:c>
      <x:c r="D30" s="20" t="n">
        <x:f>B30-C30</x:f>
        <x:v>-7.450580596923828e-8</x:v>
      </x:c>
      <x:c r="E30" s="20" t="n">
        <x:f>ABS(D30)</x:f>
        <x:v>7.450580596923828e-8</x:v>
      </x:c>
      <x:c r="F30" s="20" t="n">
        <x:f>E30/MAX(ABS(B30),ABS(C30),1)</x:f>
        <x:v>8.744167463241053e-16</x:v>
      </x:c>
      <x:c r="G30" s="9" t="str">
        <x:f>IF(E30&lt;=0.001,"Pass","Difference detected")</x:f>
        <x:v>Pass</x:v>
      </x:c>
    </x:row>
    <x:row r="31" ht="22" customHeight="1">
      <x:c r="A31" s="2" t="str">
        <x:v>S25</x:v>
      </x:c>
      <x:c r="B31" s="9" t="n">
        <x:f>'SAM_73'!BW31</x:f>
        <x:v>511066819.19681984</x:v>
      </x:c>
      <x:c r="C31" s="9" t="n">
        <x:f>'SAM_73'!AA79</x:f>
        <x:v>511066819.1968206</x:v>
      </x:c>
      <x:c r="D31" s="20" t="n">
        <x:f>B31-C31</x:f>
        <x:v>-7.748603820800781e-7</x:v>
      </x:c>
      <x:c r="E31" s="20" t="n">
        <x:f>ABS(D31)</x:f>
        <x:v>7.748603820800781e-7</x:v>
      </x:c>
      <x:c r="F31" s="20" t="n">
        <x:f>E31/MAX(ABS(B31),ABS(C31),1)</x:f>
        <x:v>1.516162570087858e-15</x:v>
      </x:c>
      <x:c r="G31" s="9" t="str">
        <x:f>IF(E31&lt;=0.001,"Pass","Difference detected")</x:f>
        <x:v>Pass</x:v>
      </x:c>
    </x:row>
    <x:row r="32" ht="22" customHeight="1">
      <x:c r="A32" s="2" t="str">
        <x:v>S26</x:v>
      </x:c>
      <x:c r="B32" s="9" t="n">
        <x:f>'SAM_73'!BW32</x:f>
        <x:v>4825169031.095344</x:v>
      </x:c>
      <x:c r="C32" s="9" t="n">
        <x:f>'SAM_73'!AB79</x:f>
        <x:v>4825169031.095346</x:v>
      </x:c>
      <x:c r="D32" s="20" t="n">
        <x:f>B32-C32</x:f>
        <x:v>-0.00000286102294921875</x:v>
      </x:c>
      <x:c r="E32" s="20" t="n">
        <x:f>ABS(D32)</x:f>
        <x:v>0.00000286102294921875</x:v>
      </x:c>
      <x:c r="F32" s="20" t="n">
        <x:f>E32/MAX(ABS(B32),ABS(C32),1)</x:f>
        <x:v>5.929373522007535e-16</x:v>
      </x:c>
      <x:c r="G32" s="9" t="str">
        <x:f>IF(E32&lt;=0.001,"Pass","Difference detected")</x:f>
        <x:v>Pass</x:v>
      </x:c>
    </x:row>
    <x:row r="33" ht="22" customHeight="1">
      <x:c r="A33" s="2" t="str">
        <x:v>S27</x:v>
      </x:c>
      <x:c r="B33" s="9" t="n">
        <x:f>'SAM_73'!BW33</x:f>
        <x:v>967498065.3878789</x:v>
      </x:c>
      <x:c r="C33" s="9" t="n">
        <x:f>'SAM_73'!AC79</x:f>
        <x:v>967498065.3878791</x:v>
      </x:c>
      <x:c r="D33" s="20" t="n">
        <x:f>B33-C33</x:f>
        <x:v>-2.384185791015625e-7</x:v>
      </x:c>
      <x:c r="E33" s="20" t="n">
        <x:f>ABS(D33)</x:f>
        <x:v>2.384185791015625e-7</x:v>
      </x:c>
      <x:c r="F33" s="20" t="n">
        <x:f>E33/MAX(ABS(B33),ABS(C33),1)</x:f>
        <x:v>2.464279646967338e-16</x:v>
      </x:c>
      <x:c r="G33" s="9" t="str">
        <x:f>IF(E33&lt;=0.001,"Pass","Difference detected")</x:f>
        <x:v>Pass</x:v>
      </x:c>
    </x:row>
    <x:row r="34" ht="22" customHeight="1">
      <x:c r="A34" s="2" t="str">
        <x:v>S28</x:v>
      </x:c>
      <x:c r="B34" s="9" t="n">
        <x:f>'SAM_73'!BW34</x:f>
        <x:v>2705688079.708003</x:v>
      </x:c>
      <x:c r="C34" s="9" t="n">
        <x:f>'SAM_73'!AD79</x:f>
        <x:v>2705688079.7080016</x:v>
      </x:c>
      <x:c r="D34" s="20" t="n">
        <x:f>B34-C34</x:f>
        <x:v>0.000001430511474609375</x:v>
      </x:c>
      <x:c r="E34" s="20" t="n">
        <x:f>ABS(D34)</x:f>
        <x:v>0.000001430511474609375</x:v>
      </x:c>
      <x:c r="F34" s="20" t="n">
        <x:f>E34/MAX(ABS(B34),ABS(C34),1)</x:f>
        <x:v>5.287052433493203e-16</x:v>
      </x:c>
      <x:c r="G34" s="9" t="str">
        <x:f>IF(E34&lt;=0.001,"Pass","Difference detected")</x:f>
        <x:v>Pass</x:v>
      </x:c>
    </x:row>
    <x:row r="35" ht="22" customHeight="1">
      <x:c r="A35" s="2" t="str">
        <x:v>S29</x:v>
      </x:c>
      <x:c r="B35" s="9" t="n">
        <x:f>'SAM_73'!BW35</x:f>
        <x:v>2248057105.713534</x:v>
      </x:c>
      <x:c r="C35" s="9" t="n">
        <x:f>'SAM_73'!AE79</x:f>
        <x:v>2248057105.7135344</x:v>
      </x:c>
      <x:c r="D35" s="20" t="n">
        <x:f>B35-C35</x:f>
        <x:v>-4.76837158203125e-7</x:v>
      </x:c>
      <x:c r="E35" s="20" t="n">
        <x:f>ABS(D35)</x:f>
        <x:v>4.76837158203125e-7</x:v>
      </x:c>
      <x:c r="F35" s="20" t="n">
        <x:f>E35/MAX(ABS(B35),ABS(C35),1)</x:f>
        <x:v>2.1211078534936802e-16</x:v>
      </x:c>
      <x:c r="G35" s="9" t="str">
        <x:f>IF(E35&lt;=0.001,"Pass","Difference detected")</x:f>
        <x:v>Pass</x:v>
      </x:c>
    </x:row>
    <x:row r="36" ht="22" customHeight="1">
      <x:c r="A36" s="2" t="str">
        <x:v>S30</x:v>
      </x:c>
      <x:c r="B36" s="9" t="n">
        <x:f>'SAM_73'!BW36</x:f>
        <x:v>2647414864.16641</x:v>
      </x:c>
      <x:c r="C36" s="9" t="n">
        <x:f>'SAM_73'!AF79</x:f>
        <x:v>2647414864.1664076</x:v>
      </x:c>
      <x:c r="D36" s="20" t="n">
        <x:f>B36-C36</x:f>
        <x:v>0.000002384185791015625</x:v>
      </x:c>
      <x:c r="E36" s="20" t="n">
        <x:f>ABS(D36)</x:f>
        <x:v>0.000002384185791015625</x:v>
      </x:c>
      <x:c r="F36" s="20" t="n">
        <x:f>E36/MAX(ABS(B36),ABS(C36),1)</x:f>
        <x:v>9.005712792831705e-16</x:v>
      </x:c>
      <x:c r="G36" s="9" t="str">
        <x:f>IF(E36&lt;=0.001,"Pass","Difference detected")</x:f>
        <x:v>Pass</x:v>
      </x:c>
    </x:row>
    <x:row r="37" ht="22" customHeight="1">
      <x:c r="A37" s="2" t="str">
        <x:v>S31</x:v>
      </x:c>
      <x:c r="B37" s="9" t="n">
        <x:f>'SAM_73'!BW37</x:f>
        <x:v>272914968.59743166</x:v>
      </x:c>
      <x:c r="C37" s="9" t="n">
        <x:f>'SAM_73'!AG79</x:f>
        <x:v>272914968.59743166</x:v>
      </x:c>
      <x:c r="D37" s="20" t="n">
        <x:f>B37-C37</x:f>
        <x:v>0</x:v>
      </x:c>
      <x:c r="E37" s="20" t="n">
        <x:f>ABS(D37)</x:f>
        <x:v>0</x:v>
      </x:c>
      <x:c r="F37" s="20" t="n">
        <x:f>E37/MAX(ABS(B37),ABS(C37),1)</x:f>
        <x:v>0</x:v>
      </x:c>
      <x:c r="G37" s="9" t="str">
        <x:f>IF(E37&lt;=0.001,"Pass","Difference detected")</x:f>
        <x:v>Pass</x:v>
      </x:c>
    </x:row>
    <x:row r="38" ht="22" customHeight="1">
      <x:c r="A38" s="2" t="str">
        <x:v>S32</x:v>
      </x:c>
      <x:c r="B38" s="9" t="n">
        <x:f>'SAM_73'!BW38</x:f>
        <x:v>699402882.0849158</x:v>
      </x:c>
      <x:c r="C38" s="9" t="n">
        <x:f>'SAM_73'!AH79</x:f>
        <x:v>699402882.0849159</x:v>
      </x:c>
      <x:c r="D38" s="20" t="n">
        <x:f>B38-C38</x:f>
        <x:v>-1.1920928955078125e-7</x:v>
      </x:c>
      <x:c r="E38" s="20" t="n">
        <x:f>ABS(D38)</x:f>
        <x:v>1.1920928955078125e-7</x:v>
      </x:c>
      <x:c r="F38" s="20" t="n">
        <x:f>E38/MAX(ABS(B38),ABS(C38),1)</x:f>
        <x:v>1.7044437848957536e-16</x:v>
      </x:c>
      <x:c r="G38" s="9" t="str">
        <x:f>IF(E38&lt;=0.001,"Pass","Difference detected")</x:f>
        <x:v>Pass</x:v>
      </x:c>
    </x:row>
    <x:row r="39" ht="22" customHeight="1">
      <x:c r="A39" s="2" t="str">
        <x:v>S33</x:v>
      </x:c>
      <x:c r="B39" s="9" t="n">
        <x:f>'SAM_73'!BW39</x:f>
        <x:v>991373972.2984393</x:v>
      </x:c>
      <x:c r="C39" s="9" t="n">
        <x:f>'SAM_73'!AI79</x:f>
        <x:v>991373972.2984407</x:v>
      </x:c>
      <x:c r="D39" s="20" t="n">
        <x:f>B39-C39</x:f>
        <x:v>-0.000001430511474609375</x:v>
      </x:c>
      <x:c r="E39" s="20" t="n">
        <x:f>ABS(D39)</x:f>
        <x:v>0.000001430511474609375</x:v>
      </x:c>
      <x:c r="F39" s="20" t="n">
        <x:f>E39/MAX(ABS(B39),ABS(C39),1)</x:f>
        <x:v>1.4429584743815904e-15</x:v>
      </x:c>
      <x:c r="G39" s="9" t="str">
        <x:f>IF(E39&lt;=0.001,"Pass","Difference detected")</x:f>
        <x:v>Pass</x:v>
      </x:c>
    </x:row>
    <x:row r="40" ht="22" customHeight="1">
      <x:c r="A40" s="2" t="str">
        <x:v>S34</x:v>
      </x:c>
      <x:c r="B40" s="9" t="n">
        <x:f>'SAM_73'!BW40</x:f>
        <x:v>172691715.01989156</x:v>
      </x:c>
      <x:c r="C40" s="9" t="n">
        <x:f>'SAM_73'!AJ79</x:f>
        <x:v>172691715.0198917</x:v>
      </x:c>
      <x:c r="D40" s="20" t="n">
        <x:f>B40-C40</x:f>
        <x:v>-1.4901161193847656e-7</x:v>
      </x:c>
      <x:c r="E40" s="20" t="n">
        <x:f>ABS(D40)</x:f>
        <x:v>1.4901161193847656e-7</x:v>
      </x:c>
      <x:c r="F40" s="20" t="n">
        <x:f>E40/MAX(ABS(B40),ABS(C40),1)</x:f>
        <x:v>8.628764380579143e-16</x:v>
      </x:c>
      <x:c r="G40" s="9" t="str">
        <x:f>IF(E40&lt;=0.001,"Pass","Difference detected")</x:f>
        <x:v>Pass</x:v>
      </x:c>
    </x:row>
    <x:row r="41" ht="22" customHeight="1">
      <x:c r="A41" s="2" t="str">
        <x:v>S35</x:v>
      </x:c>
      <x:c r="B41" s="9" t="n">
        <x:f>'SAM_73'!BW41</x:f>
        <x:v>1722207760.0184886</x:v>
      </x:c>
      <x:c r="C41" s="9" t="n">
        <x:f>'SAM_73'!AK79</x:f>
        <x:v>1722207760.0184906</x:v>
      </x:c>
      <x:c r="D41" s="20" t="n">
        <x:f>B41-C41</x:f>
        <x:v>-0.0000019073486328125</x:v>
      </x:c>
      <x:c r="E41" s="20" t="n">
        <x:f>ABS(D41)</x:f>
        <x:v>0.0000019073486328125</x:v>
      </x:c>
      <x:c r="F41" s="20" t="n">
        <x:f>E41/MAX(ABS(B41),ABS(C41),1)</x:f>
        <x:v>1.1075020546835892e-15</x:v>
      </x:c>
      <x:c r="G41" s="9" t="str">
        <x:f>IF(E41&lt;=0.001,"Pass","Difference detected")</x:f>
        <x:v>Pass</x:v>
      </x:c>
    </x:row>
    <x:row r="42" ht="22" customHeight="1">
      <x:c r="A42" s="2" t="str">
        <x:v>S36</x:v>
      </x:c>
      <x:c r="B42" s="9" t="n">
        <x:f>'SAM_73'!BW42</x:f>
        <x:v>114964896.61219487</x:v>
      </x:c>
      <x:c r="C42" s="9" t="n">
        <x:f>'SAM_73'!AL79</x:f>
        <x:v>114964896.61219504</x:v>
      </x:c>
      <x:c r="D42" s="20" t="n">
        <x:f>B42-C42</x:f>
        <x:v>-1.7881393432617188e-7</x:v>
      </x:c>
      <x:c r="E42" s="20" t="n">
        <x:f>ABS(D42)</x:f>
        <x:v>1.7881393432617188e-7</x:v>
      </x:c>
      <x:c r="F42" s="20" t="n">
        <x:f>E42/MAX(ABS(B42),ABS(C42),1)</x:f>
        <x:v>1.555378551153361e-15</x:v>
      </x:c>
      <x:c r="G42" s="9" t="str">
        <x:f>IF(E42&lt;=0.001,"Pass","Difference detected")</x:f>
        <x:v>Pass</x:v>
      </x:c>
    </x:row>
    <x:row r="43" ht="22" customHeight="1">
      <x:c r="A43" s="2" t="str">
        <x:v>S37</x:v>
      </x:c>
      <x:c r="B43" s="9" t="n">
        <x:f>'SAM_73'!BW43</x:f>
        <x:v>138104489.924256</x:v>
      </x:c>
      <x:c r="C43" s="9" t="n">
        <x:f>'SAM_73'!AM79</x:f>
        <x:v>138104489.92425624</x:v>
      </x:c>
      <x:c r="D43" s="20" t="n">
        <x:f>B43-C43</x:f>
        <x:v>-2.384185791015625e-7</x:v>
      </x:c>
      <x:c r="E43" s="20" t="n">
        <x:f>ABS(D43)</x:f>
        <x:v>2.384185791015625e-7</x:v>
      </x:c>
      <x:c r="F43" s="20" t="n">
        <x:f>E43/MAX(ABS(B43),ABS(C43),1)</x:f>
        <x:v>1.7263637064394053e-15</x:v>
      </x:c>
      <x:c r="G43" s="9" t="str">
        <x:f>IF(E43&lt;=0.001,"Pass","Difference detected")</x:f>
        <x:v>Pass</x:v>
      </x:c>
    </x:row>
    <x:row r="44" ht="22" customHeight="1">
      <x:c r="A44" s="2" t="str">
        <x:v>S38</x:v>
      </x:c>
      <x:c r="B44" s="9" t="n">
        <x:f>'SAM_73'!BW44</x:f>
        <x:v>266256446.7313324</x:v>
      </x:c>
      <x:c r="C44" s="9" t="n">
        <x:f>'SAM_73'!AN79</x:f>
        <x:v>266256446.7313327</x:v>
      </x:c>
      <x:c r="D44" s="20" t="n">
        <x:f>B44-C44</x:f>
        <x:v>-2.980232238769531e-7</x:v>
      </x:c>
      <x:c r="E44" s="20" t="n">
        <x:f>ABS(D44)</x:f>
        <x:v>2.980232238769531e-7</x:v>
      </x:c>
      <x:c r="F44" s="20" t="n">
        <x:f>E44/MAX(ABS(B44),ABS(C44),1)</x:f>
        <x:v>1.1193089502079731e-15</x:v>
      </x:c>
      <x:c r="G44" s="9" t="str">
        <x:f>IF(E44&lt;=0.001,"Pass","Difference detected")</x:f>
        <x:v>Pass</x:v>
      </x:c>
    </x:row>
    <x:row r="45" ht="22" customHeight="1">
      <x:c r="A45" s="2" t="str">
        <x:v>S39</x:v>
      </x:c>
      <x:c r="B45" s="9" t="n">
        <x:f>'SAM_73'!BW45</x:f>
        <x:v>635100782.2918394</x:v>
      </x:c>
      <x:c r="C45" s="9" t="n">
        <x:f>'SAM_73'!AO79</x:f>
        <x:v>635100782.2918403</x:v>
      </x:c>
      <x:c r="D45" s="20" t="n">
        <x:f>B45-C45</x:f>
        <x:v>-9.5367431640625e-7</x:v>
      </x:c>
      <x:c r="E45" s="20" t="n">
        <x:f>ABS(D45)</x:f>
        <x:v>9.5367431640625e-7</x:v>
      </x:c>
      <x:c r="F45" s="20" t="n">
        <x:f>E45/MAX(ABS(B45),ABS(C45),1)</x:f>
        <x:v>1.5016109930849044e-15</x:v>
      </x:c>
      <x:c r="G45" s="9" t="str">
        <x:f>IF(E45&lt;=0.001,"Pass","Difference detected")</x:f>
        <x:v>Pass</x:v>
      </x:c>
    </x:row>
    <x:row r="46" ht="22" customHeight="1">
      <x:c r="A46" s="2" t="str">
        <x:v>S40</x:v>
      </x:c>
      <x:c r="B46" s="9" t="n">
        <x:f>'SAM_73'!BW46</x:f>
        <x:v>1056680408.5944532</x:v>
      </x:c>
      <x:c r="C46" s="9" t="n">
        <x:f>'SAM_73'!AP79</x:f>
        <x:v>1056680408.5944548</x:v>
      </x:c>
      <x:c r="D46" s="20" t="n">
        <x:f>B46-C46</x:f>
        <x:v>-0.0000015497207641601562</x:v>
      </x:c>
      <x:c r="E46" s="20" t="n">
        <x:f>ABS(D46)</x:f>
        <x:v>0.0000015497207641601562</x:v>
      </x:c>
      <x:c r="F46" s="20" t="n">
        <x:f>E46/MAX(ABS(B46),ABS(C46),1)</x:f>
        <x:v>1.4665936375422346e-15</x:v>
      </x:c>
      <x:c r="G46" s="9" t="str">
        <x:f>IF(E46&lt;=0.001,"Pass","Difference detected")</x:f>
        <x:v>Pass</x:v>
      </x:c>
    </x:row>
    <x:row r="47" ht="22" customHeight="1">
      <x:c r="A47" s="2" t="str">
        <x:v>S41</x:v>
      </x:c>
      <x:c r="B47" s="9" t="n">
        <x:f>'SAM_73'!BW47</x:f>
        <x:v>433386598.0341443</x:v>
      </x:c>
      <x:c r="C47" s="9" t="n">
        <x:f>'SAM_73'!AQ79</x:f>
        <x:v>433386598.03414464</x:v>
      </x:c>
      <x:c r="D47" s="20" t="n">
        <x:f>B47-C47</x:f>
        <x:v>-3.5762786865234375e-7</x:v>
      </x:c>
      <x:c r="E47" s="20" t="n">
        <x:f>ABS(D47)</x:f>
        <x:v>3.5762786865234375e-7</x:v>
      </x:c>
      <x:c r="F47" s="20" t="n">
        <x:f>E47/MAX(ABS(B47),ABS(C47),1)</x:f>
        <x:v>8.251936499064694e-16</x:v>
      </x:c>
      <x:c r="G47" s="9" t="str">
        <x:f>IF(E47&lt;=0.001,"Pass","Difference detected")</x:f>
        <x:v>Pass</x:v>
      </x:c>
    </x:row>
    <x:row r="48" ht="22" customHeight="1">
      <x:c r="A48" s="2" t="str">
        <x:v>S42</x:v>
      </x:c>
      <x:c r="B48" s="9" t="n">
        <x:f>'SAM_73'!BW48</x:f>
        <x:v>145192817.4783797</x:v>
      </x:c>
      <x:c r="C48" s="9" t="n">
        <x:f>'SAM_73'!AR79</x:f>
        <x:v>145192817.47837988</x:v>
      </x:c>
      <x:c r="D48" s="20" t="n">
        <x:f>B48-C48</x:f>
        <x:v>-1.7881393432617188e-7</x:v>
      </x:c>
      <x:c r="E48" s="20" t="n">
        <x:f>ABS(D48)</x:f>
        <x:v>1.7881393432617188e-7</x:v>
      </x:c>
      <x:c r="F48" s="20" t="n">
        <x:f>E48/MAX(ABS(B48),ABS(C48),1)</x:f>
        <x:v>1.2315618460451627e-15</x:v>
      </x:c>
      <x:c r="G48" s="9" t="str">
        <x:f>IF(E48&lt;=0.001,"Pass","Difference detected")</x:f>
        <x:v>Pass</x:v>
      </x:c>
    </x:row>
    <x:row r="49" ht="22" customHeight="1">
      <x:c r="A49" s="2" t="str">
        <x:v>S43</x:v>
      </x:c>
      <x:c r="B49" s="9" t="n">
        <x:f>'SAM_73'!BW49</x:f>
        <x:v>1155547772.631032</x:v>
      </x:c>
      <x:c r="C49" s="9" t="n">
        <x:f>'SAM_73'!AS79</x:f>
        <x:v>1155547772.6310327</x:v>
      </x:c>
      <x:c r="D49" s="20" t="n">
        <x:f>B49-C49</x:f>
        <x:v>-7.152557373046875e-7</x:v>
      </x:c>
      <x:c r="E49" s="20" t="n">
        <x:f>ABS(D49)</x:f>
        <x:v>7.152557373046875e-7</x:v>
      </x:c>
      <x:c r="F49" s="20" t="n">
        <x:f>E49/MAX(ABS(B49),ABS(C49),1)</x:f>
        <x:v>6.189754800670359e-16</x:v>
      </x:c>
      <x:c r="G49" s="9" t="str">
        <x:f>IF(E49&lt;=0.001,"Pass","Difference detected")</x:f>
        <x:v>Pass</x:v>
      </x:c>
    </x:row>
    <x:row r="50" ht="22" customHeight="1">
      <x:c r="A50" s="2" t="str">
        <x:v>S44</x:v>
      </x:c>
      <x:c r="B50" s="9" t="n">
        <x:f>'SAM_73'!BW50</x:f>
        <x:v>939200305.2809546</x:v>
      </x:c>
      <x:c r="C50" s="9" t="n">
        <x:f>'SAM_73'!AT79</x:f>
        <x:v>939200305.2809545</x:v>
      </x:c>
      <x:c r="D50" s="20" t="n">
        <x:f>B50-C50</x:f>
        <x:v>1.1920928955078125e-7</x:v>
      </x:c>
      <x:c r="E50" s="20" t="n">
        <x:f>ABS(D50)</x:f>
        <x:v>1.1920928955078125e-7</x:v>
      </x:c>
      <x:c r="F50" s="20" t="n">
        <x:f>E50/MAX(ABS(B50),ABS(C50),1)</x:f>
        <x:v>1.2692637436390175e-16</x:v>
      </x:c>
      <x:c r="G50" s="9" t="str">
        <x:f>IF(E50&lt;=0.001,"Pass","Difference detected")</x:f>
        <x:v>Pass</x:v>
      </x:c>
    </x:row>
    <x:row r="51" ht="22" customHeight="1">
      <x:c r="A51" s="2" t="str">
        <x:v>S45</x:v>
      </x:c>
      <x:c r="B51" s="9" t="n">
        <x:f>'SAM_73'!BW51</x:f>
        <x:v>441054481.9527353</x:v>
      </x:c>
      <x:c r="C51" s="9" t="n">
        <x:f>'SAM_73'!AU79</x:f>
        <x:v>441054481.9527359</x:v>
      </x:c>
      <x:c r="D51" s="20" t="n">
        <x:f>B51-C51</x:f>
        <x:v>-5.960464477539062e-7</x:v>
      </x:c>
      <x:c r="E51" s="20" t="n">
        <x:f>ABS(D51)</x:f>
        <x:v>5.960464477539062e-7</x:v>
      </x:c>
      <x:c r="F51" s="20" t="n">
        <x:f>E51/MAX(ABS(B51),ABS(C51),1)</x:f>
        <x:v>1.3514122906425414e-15</x:v>
      </x:c>
      <x:c r="G51" s="9" t="str">
        <x:f>IF(E51&lt;=0.001,"Pass","Difference detected")</x:f>
        <x:v>Pass</x:v>
      </x:c>
    </x:row>
    <x:row r="52" ht="22" customHeight="1">
      <x:c r="A52" s="2" t="str">
        <x:v>S46</x:v>
      </x:c>
      <x:c r="B52" s="9" t="n">
        <x:f>'SAM_73'!BW52</x:f>
        <x:v>387287348.39353734</x:v>
      </x:c>
      <x:c r="C52" s="9" t="n">
        <x:f>'SAM_73'!AV79</x:f>
        <x:v>387287348.3935381</x:v>
      </x:c>
      <x:c r="D52" s="20" t="n">
        <x:f>B52-C52</x:f>
        <x:v>-7.748603820800781e-7</x:v>
      </x:c>
      <x:c r="E52" s="20" t="n">
        <x:f>ABS(D52)</x:f>
        <x:v>7.748603820800781e-7</x:v>
      </x:c>
      <x:c r="F52" s="20" t="n">
        <x:f>E52/MAX(ABS(B52),ABS(C52),1)</x:f>
        <x:v>2.000737657179319e-15</x:v>
      </x:c>
      <x:c r="G52" s="9" t="str">
        <x:f>IF(E52&lt;=0.001,"Pass","Difference detected")</x:f>
        <x:v>Pass</x:v>
      </x:c>
    </x:row>
    <x:row r="53" ht="22" customHeight="1">
      <x:c r="A53" s="2" t="str">
        <x:v>S47</x:v>
      </x:c>
      <x:c r="B53" s="9" t="n">
        <x:f>'SAM_73'!BW53</x:f>
        <x:v>30047802.13465726</x:v>
      </x:c>
      <x:c r="C53" s="9" t="n">
        <x:f>'SAM_73'!AW79</x:f>
        <x:v>30047802.1346573</x:v>
      </x:c>
      <x:c r="D53" s="20" t="n">
        <x:f>B53-C53</x:f>
        <x:v>-4.0978193283081055e-8</x:v>
      </x:c>
      <x:c r="E53" s="20" t="n">
        <x:f>ABS(D53)</x:f>
        <x:v>4.0978193283081055e-8</x:v>
      </x:c>
      <x:c r="F53" s="20" t="n">
        <x:f>E53/MAX(ABS(B53),ABS(C53),1)</x:f>
        <x:v>1.3637667440513587e-15</x:v>
      </x:c>
      <x:c r="G53" s="9" t="str">
        <x:f>IF(E53&lt;=0.001,"Pass","Difference detected")</x:f>
        <x:v>Pass</x:v>
      </x:c>
    </x:row>
    <x:row r="54" ht="22" customHeight="1">
      <x:c r="A54" s="2" t="str">
        <x:v>S48</x:v>
      </x:c>
      <x:c r="B54" s="9" t="n">
        <x:f>'SAM_73'!BW54</x:f>
        <x:v>231340042.73731244</x:v>
      </x:c>
      <x:c r="C54" s="9" t="n">
        <x:f>'SAM_73'!AX79</x:f>
        <x:v>231340042.7373128</x:v>
      </x:c>
      <x:c r="D54" s="20" t="n">
        <x:f>B54-C54</x:f>
        <x:v>-3.5762786865234375e-7</x:v>
      </x:c>
      <x:c r="E54" s="20" t="n">
        <x:f>ABS(D54)</x:f>
        <x:v>3.5762786865234375e-7</x:v>
      </x:c>
      <x:c r="F54" s="20" t="n">
        <x:f>E54/MAX(ABS(B54),ABS(C54),1)</x:f>
        <x:v>1.5458969593881813e-15</x:v>
      </x:c>
      <x:c r="G54" s="9" t="str">
        <x:f>IF(E54&lt;=0.001,"Pass","Difference detected")</x:f>
        <x:v>Pass</x:v>
      </x:c>
    </x:row>
    <x:row r="55" ht="22" customHeight="1">
      <x:c r="A55" s="2" t="str">
        <x:v>S49</x:v>
      </x:c>
      <x:c r="B55" s="9" t="n">
        <x:f>'SAM_73'!BW55</x:f>
        <x:v>110663102.79701145</x:v>
      </x:c>
      <x:c r="C55" s="9" t="n">
        <x:f>'SAM_73'!AY79</x:f>
        <x:v>110663102.79701157</x:v>
      </x:c>
      <x:c r="D55" s="20" t="n">
        <x:f>B55-C55</x:f>
        <x:v>-1.1920928955078125e-7</x:v>
      </x:c>
      <x:c r="E55" s="20" t="n">
        <x:f>ABS(D55)</x:f>
        <x:v>1.1920928955078125e-7</x:v>
      </x:c>
      <x:c r="F55" s="20" t="n">
        <x:f>E55/MAX(ABS(B55),ABS(C55),1)</x:f>
        <x:v>1.0772270660930761e-15</x:v>
      </x:c>
      <x:c r="G55" s="9" t="str">
        <x:f>IF(E55&lt;=0.001,"Pass","Difference detected")</x:f>
        <x:v>Pass</x:v>
      </x:c>
    </x:row>
    <x:row r="56" ht="22" customHeight="1">
      <x:c r="A56" s="2" t="str">
        <x:v>S50</x:v>
      </x:c>
      <x:c r="B56" s="9" t="n">
        <x:f>'SAM_73'!BW56</x:f>
        <x:v>247388737.1163211</x:v>
      </x:c>
      <x:c r="C56" s="9" t="n">
        <x:f>'SAM_73'!AZ79</x:f>
        <x:v>247388737.11632153</x:v>
      </x:c>
      <x:c r="D56" s="20" t="n">
        <x:f>B56-C56</x:f>
        <x:v>-4.470348358154297e-7</x:v>
      </x:c>
      <x:c r="E56" s="20" t="n">
        <x:f>ABS(D56)</x:f>
        <x:v>4.470348358154297e-7</x:v>
      </x:c>
      <x:c r="F56" s="20" t="n">
        <x:f>E56/MAX(ABS(B56),ABS(C56),1)</x:f>
        <x:v>1.80701369442391e-15</x:v>
      </x:c>
      <x:c r="G56" s="9" t="str">
        <x:f>IF(E56&lt;=0.001,"Pass","Difference detected")</x:f>
        <x:v>Pass</x:v>
      </x:c>
    </x:row>
    <x:row r="57" ht="22" customHeight="1">
      <x:c r="A57" s="2" t="str">
        <x:v>S51</x:v>
      </x:c>
      <x:c r="B57" s="9" t="n">
        <x:f>'SAM_73'!BW57</x:f>
        <x:v>253498485.28428522</x:v>
      </x:c>
      <x:c r="C57" s="9" t="n">
        <x:f>'SAM_73'!BA79</x:f>
        <x:v>253498485.28428525</x:v>
      </x:c>
      <x:c r="D57" s="20" t="n">
        <x:f>B57-C57</x:f>
        <x:v>-2.9802322387695312e-8</x:v>
      </x:c>
      <x:c r="E57" s="20" t="n">
        <x:f>ABS(D57)</x:f>
        <x:v>2.9802322387695312e-8</x:v>
      </x:c>
      <x:c r="F57" s="20" t="n">
        <x:f>E57/MAX(ABS(B57),ABS(C57),1)</x:f>
        <x:v>1.175641043940502e-16</x:v>
      </x:c>
      <x:c r="G57" s="9" t="str">
        <x:f>IF(E57&lt;=0.001,"Pass","Difference detected")</x:f>
        <x:v>Pass</x:v>
      </x:c>
    </x:row>
    <x:row r="58" ht="22" customHeight="1">
      <x:c r="A58" s="2" t="str">
        <x:v>S52</x:v>
      </x:c>
      <x:c r="B58" s="9" t="n">
        <x:f>'SAM_73'!BW58</x:f>
        <x:v>388641466.46317434</x:v>
      </x:c>
      <x:c r="C58" s="9" t="n">
        <x:f>'SAM_73'!BB79</x:f>
        <x:v>388641466.4631746</x:v>
      </x:c>
      <x:c r="D58" s="20" t="n">
        <x:f>B58-C58</x:f>
        <x:v>-2.384185791015625e-7</x:v>
      </x:c>
      <x:c r="E58" s="20" t="n">
        <x:f>ABS(D58)</x:f>
        <x:v>2.384185791015625e-7</x:v>
      </x:c>
      <x:c r="F58" s="20" t="n">
        <x:f>E58/MAX(ABS(B58),ABS(C58),1)</x:f>
        <x:v>6.13466651593529e-16</x:v>
      </x:c>
      <x:c r="G58" s="9" t="str">
        <x:f>IF(E58&lt;=0.001,"Pass","Difference detected")</x:f>
        <x:v>Pass</x:v>
      </x:c>
    </x:row>
    <x:row r="59" ht="22" customHeight="1">
      <x:c r="A59" s="2" t="str">
        <x:v>S53</x:v>
      </x:c>
      <x:c r="B59" s="9" t="n">
        <x:f>'SAM_73'!BW59</x:f>
        <x:v>515451829.2148503</x:v>
      </x:c>
      <x:c r="C59" s="9" t="n">
        <x:f>'SAM_73'!BC79</x:f>
        <x:v>515451829.2148513</x:v>
      </x:c>
      <x:c r="D59" s="20" t="n">
        <x:f>B59-C59</x:f>
        <x:v>-0.0000010132789611816406</x:v>
      </x:c>
      <x:c r="E59" s="20" t="n">
        <x:f>ABS(D59)</x:f>
        <x:v>0.0000010132789611816406</x:v>
      </x:c>
      <x:c r="F59" s="20" t="n">
        <x:f>E59/MAX(ABS(B59),ABS(C59),1)</x:f>
        <x:v>1.9658072854743606e-15</x:v>
      </x:c>
      <x:c r="G59" s="9" t="str">
        <x:f>IF(E59&lt;=0.001,"Pass","Difference detected")</x:f>
        <x:v>Pass</x:v>
      </x:c>
    </x:row>
    <x:row r="60" ht="22" customHeight="1">
      <x:c r="A60" s="2" t="str">
        <x:v>S54</x:v>
      </x:c>
      <x:c r="B60" s="9" t="n">
        <x:f>'SAM_73'!BW60</x:f>
        <x:v>1799693756.2440274</x:v>
      </x:c>
      <x:c r="C60" s="9" t="n">
        <x:f>'SAM_73'!BD79</x:f>
        <x:v>1799693756.2440286</x:v>
      </x:c>
      <x:c r="D60" s="20" t="n">
        <x:f>B60-C60</x:f>
        <x:v>-0.0000011920928955078125</x:v>
      </x:c>
      <x:c r="E60" s="20" t="n">
        <x:f>ABS(D60)</x:f>
        <x:v>0.0000011920928955078125</x:v>
      </x:c>
      <x:c r="F60" s="20" t="n">
        <x:f>E60/MAX(ABS(B60),ABS(C60),1)</x:f>
        <x:v>6.623865262475085e-16</x:v>
      </x:c>
      <x:c r="G60" s="9" t="str">
        <x:f>IF(E60&lt;=0.001,"Pass","Difference detected")</x:f>
        <x:v>Pass</x:v>
      </x:c>
    </x:row>
    <x:row r="61" ht="22" customHeight="1">
      <x:c r="A61" s="2" t="str">
        <x:v>S55</x:v>
      </x:c>
      <x:c r="B61" s="9" t="n">
        <x:f>'SAM_73'!BW61</x:f>
        <x:v>1014677766.5841655</x:v>
      </x:c>
      <x:c r="C61" s="9" t="n">
        <x:f>'SAM_73'!BE79</x:f>
        <x:v>1014677766.5841659</x:v>
      </x:c>
      <x:c r="D61" s="20" t="n">
        <x:f>B61-C61</x:f>
        <x:v>-4.76837158203125e-7</x:v>
      </x:c>
      <x:c r="E61" s="20" t="n">
        <x:f>ABS(D61)</x:f>
        <x:v>4.76837158203125e-7</x:v>
      </x:c>
      <x:c r="F61" s="20" t="n">
        <x:f>E61/MAX(ABS(B61),ABS(C61),1)</x:f>
        <x:v>4.699394959725592e-16</x:v>
      </x:c>
      <x:c r="G61" s="9" t="str">
        <x:f>IF(E61&lt;=0.001,"Pass","Difference detected")</x:f>
        <x:v>Pass</x:v>
      </x:c>
    </x:row>
    <x:row r="62" ht="22" customHeight="1">
      <x:c r="A62" s="2" t="str">
        <x:v>S56</x:v>
      </x:c>
      <x:c r="B62" s="9" t="n">
        <x:f>'SAM_73'!BW62</x:f>
        <x:v>1070536368.3774636</x:v>
      </x:c>
      <x:c r="C62" s="9" t="n">
        <x:f>'SAM_73'!BF79</x:f>
        <x:v>1070536368.3774637</x:v>
      </x:c>
      <x:c r="D62" s="20" t="n">
        <x:f>B62-C62</x:f>
        <x:v>-1.1920928955078125e-7</x:v>
      </x:c>
      <x:c r="E62" s="20" t="n">
        <x:f>ABS(D62)</x:f>
        <x:v>1.1920928955078125e-7</x:v>
      </x:c>
      <x:c r="F62" s="20" t="n">
        <x:f>E62/MAX(ABS(B62),ABS(C62),1)</x:f>
        <x:v>1.1135473120960696e-16</x:v>
      </x:c>
      <x:c r="G62" s="9" t="str">
        <x:f>IF(E62&lt;=0.001,"Pass","Difference detected")</x:f>
        <x:v>Pass</x:v>
      </x:c>
    </x:row>
    <x:row r="63" ht="22" customHeight="1">
      <x:c r="A63" s="2" t="str">
        <x:v>S57</x:v>
      </x:c>
      <x:c r="B63" s="9" t="n">
        <x:f>'SAM_73'!BW63</x:f>
        <x:v>72200225.97511287</x:v>
      </x:c>
      <x:c r="C63" s="9" t="n">
        <x:f>'SAM_73'!BG79</x:f>
        <x:v>72200225.97511294</x:v>
      </x:c>
      <x:c r="D63" s="20" t="n">
        <x:f>B63-C63</x:f>
        <x:v>-7.450580596923828e-8</x:v>
      </x:c>
      <x:c r="E63" s="20" t="n">
        <x:f>ABS(D63)</x:f>
        <x:v>7.450580596923828e-8</x:v>
      </x:c>
      <x:c r="F63" s="20" t="n">
        <x:f>E63/MAX(ABS(B63),ABS(C63),1)</x:f>
        <x:v>1.0319331409699473e-15</x:v>
      </x:c>
      <x:c r="G63" s="9" t="str">
        <x:f>IF(E63&lt;=0.001,"Pass","Difference detected")</x:f>
        <x:v>Pass</x:v>
      </x:c>
    </x:row>
    <x:row r="64" ht="22" customHeight="1">
      <x:c r="A64" s="2" t="str">
        <x:v>S58</x:v>
      </x:c>
      <x:c r="B64" s="9" t="n">
        <x:f>'SAM_73'!BW64</x:f>
        <x:v>394741297.66318667</x:v>
      </x:c>
      <x:c r="C64" s="9" t="n">
        <x:f>'SAM_73'!BH79</x:f>
        <x:v>394741297.663187</x:v>
      </x:c>
      <x:c r="D64" s="20" t="n">
        <x:f>B64-C64</x:f>
        <x:v>-3.5762786865234375e-7</x:v>
      </x:c>
      <x:c r="E64" s="20" t="n">
        <x:f>ABS(D64)</x:f>
        <x:v>3.5762786865234375e-7</x:v>
      </x:c>
      <x:c r="F64" s="20" t="n">
        <x:f>E64/MAX(ABS(B64),ABS(C64),1)</x:f>
        <x:v>9.059803744109127e-16</x:v>
      </x:c>
      <x:c r="G64" s="9" t="str">
        <x:f>IF(E64&lt;=0.001,"Pass","Difference detected")</x:f>
        <x:v>Pass</x:v>
      </x:c>
    </x:row>
    <x:row r="65" ht="22" customHeight="1">
      <x:c r="A65" s="2" t="str">
        <x:v>S59</x:v>
      </x:c>
      <x:c r="B65" s="9" t="n">
        <x:f>'SAM_73'!BW65</x:f>
        <x:v>127963987.70088549</x:v>
      </x:c>
      <x:c r="C65" s="9" t="n">
        <x:f>'SAM_73'!BI79</x:f>
        <x:v>127963987.7008856</x:v>
      </x:c>
      <x:c r="D65" s="20" t="n">
        <x:f>B65-C65</x:f>
        <x:v>-1.043081283569336e-7</x:v>
      </x:c>
      <x:c r="E65" s="20" t="n">
        <x:f>ABS(D65)</x:f>
        <x:v>1.043081283569336e-7</x:v>
      </x:c>
      <x:c r="F65" s="20" t="n">
        <x:f>E65/MAX(ABS(B65),ABS(C65),1)</x:f>
        <x:v>8.151365882778887e-16</x:v>
      </x:c>
      <x:c r="G65" s="9" t="str">
        <x:f>IF(E65&lt;=0.001,"Pass","Difference detected")</x:f>
        <x:v>Pass</x:v>
      </x:c>
    </x:row>
    <x:row r="66" ht="22" customHeight="1">
      <x:c r="A66" s="2" t="str">
        <x:v>S60</x:v>
      </x:c>
      <x:c r="B66" s="9" t="n">
        <x:f>'SAM_73'!BW66</x:f>
        <x:v>156508849.7175263</x:v>
      </x:c>
      <x:c r="C66" s="9" t="n">
        <x:f>'SAM_73'!BJ79</x:f>
        <x:v>156508849.71756312</x:v>
      </x:c>
      <x:c r="D66" s="20" t="n">
        <x:f>B66-C66</x:f>
        <x:v>-0.000036835670471191406</x:v>
      </x:c>
      <x:c r="E66" s="20" t="n">
        <x:f>ABS(D66)</x:f>
        <x:v>0.000036835670471191406</x:v>
      </x:c>
      <x:c r="F66" s="20" t="n">
        <x:f>E66/MAX(ABS(B66),ABS(C66),1)</x:f>
        <x:v>2.353583873222843e-13</x:v>
      </x:c>
      <x:c r="G66" s="9" t="str">
        <x:f>IF(E66&lt;=0.001,"Pass","Difference detected")</x:f>
        <x:v>Pass</x:v>
      </x:c>
    </x:row>
    <x:row r="67" ht="22" customHeight="1">
      <x:c r="A67" s="2" t="str">
        <x:v>S61</x:v>
      </x:c>
      <x:c r="B67" s="9" t="n">
        <x:f>'SAM_73'!BW67</x:f>
        <x:v>60130499.258392036</x:v>
      </x:c>
      <x:c r="C67" s="9" t="n">
        <x:f>'SAM_73'!BK79</x:f>
        <x:v>60130499.2583921</x:v>
      </x:c>
      <x:c r="D67" s="20" t="n">
        <x:f>B67-C67</x:f>
        <x:v>-6.705522537231445e-8</x:v>
      </x:c>
      <x:c r="E67" s="20" t="n">
        <x:f>ABS(D67)</x:f>
        <x:v>6.705522537231445e-8</x:v>
      </x:c>
      <x:c r="F67" s="20" t="n">
        <x:f>E67/MAX(ABS(B67),ABS(C67),1)</x:f>
        <x:v>1.1151616267838638e-15</x:v>
      </x:c>
      <x:c r="G67" s="9" t="str">
        <x:f>IF(E67&lt;=0.001,"Pass","Difference detected")</x:f>
        <x:v>Pass</x:v>
      </x:c>
    </x:row>
    <x:row r="68" ht="22" customHeight="1">
      <x:c r="A68" s="2" t="str">
        <x:v>S62</x:v>
      </x:c>
      <x:c r="B68" s="9" t="n">
        <x:f>'SAM_73'!BW68</x:f>
        <x:v>109556410.55534786</x:v>
      </x:c>
      <x:c r="C68" s="9" t="n">
        <x:f>'SAM_73'!BL79</x:f>
        <x:v>109556410.55534796</x:v>
      </x:c>
      <x:c r="D68" s="20" t="n">
        <x:f>B68-C68</x:f>
        <x:v>-1.043081283569336e-7</x:v>
      </x:c>
      <x:c r="E68" s="20" t="n">
        <x:f>ABS(D68)</x:f>
        <x:v>1.043081283569336e-7</x:v>
      </x:c>
      <x:c r="F68" s="20" t="n">
        <x:f>E68/MAX(ABS(B68),ABS(C68),1)</x:f>
        <x:v>9.520951610972784e-16</x:v>
      </x:c>
      <x:c r="G68" s="9" t="str">
        <x:f>IF(E68&lt;=0.001,"Pass","Difference detected")</x:f>
        <x:v>Pass</x:v>
      </x:c>
    </x:row>
    <x:row r="69" ht="22" customHeight="1">
      <x:c r="A69" s="2" t="str">
        <x:v>S63</x:v>
      </x:c>
      <x:c r="B69" s="9" t="n">
        <x:f>'SAM_73'!BW69</x:f>
        <x:v>15703634.439148545</x:v>
      </x:c>
      <x:c r="C69" s="9" t="n">
        <x:f>'SAM_73'!BM79</x:f>
        <x:v>15703634.439148564</x:v>
      </x:c>
      <x:c r="D69" s="20" t="n">
        <x:f>B69-C69</x:f>
        <x:v>-1.862645149230957e-8</x:v>
      </x:c>
      <x:c r="E69" s="20" t="n">
        <x:f>ABS(D69)</x:f>
        <x:v>1.862645149230957e-8</x:v>
      </x:c>
      <x:c r="F69" s="20" t="n">
        <x:f>E69/MAX(ABS(B69),ABS(C69),1)</x:f>
        <x:v>1.1861236049837313e-15</x:v>
      </x:c>
      <x:c r="G69" s="9" t="str">
        <x:f>IF(E69&lt;=0.001,"Pass","Difference detected")</x:f>
        <x:v>Pass</x:v>
      </x:c>
    </x:row>
    <x:row r="70" ht="22" customHeight="1">
      <x:c r="A70" s="2" t="str">
        <x:v>LAB</x:v>
      </x:c>
      <x:c r="B70" s="9" t="n">
        <x:f>'SAM_73'!BW70</x:f>
        <x:v>7755515400.008977</x:v>
      </x:c>
      <x:c r="C70" s="9" t="n">
        <x:f>'SAM_73'!BN79</x:f>
        <x:v>7755515400.008977</x:v>
      </x:c>
      <x:c r="D70" s="20" t="n">
        <x:f>B70-C70</x:f>
        <x:v>0</x:v>
      </x:c>
      <x:c r="E70" s="20" t="n">
        <x:f>ABS(D70)</x:f>
        <x:v>0</x:v>
      </x:c>
      <x:c r="F70" s="20" t="n">
        <x:f>E70/MAX(ABS(B70),ABS(C70),1)</x:f>
        <x:v>0</x:v>
      </x:c>
      <x:c r="G70" s="9" t="str">
        <x:f>IF(E70&lt;=0.001,"Pass","Difference detected")</x:f>
        <x:v>Pass</x:v>
      </x:c>
    </x:row>
    <x:row r="71" ht="22" customHeight="1">
      <x:c r="A71" s="2" t="str">
        <x:v>CAP</x:v>
      </x:c>
      <x:c r="B71" s="9" t="n">
        <x:f>'SAM_73'!BW71</x:f>
        <x:v>16659364806.724644</x:v>
      </x:c>
      <x:c r="C71" s="9" t="n">
        <x:f>'SAM_73'!BO79</x:f>
        <x:v>16659364806.724644</x:v>
      </x:c>
      <x:c r="D71" s="20" t="n">
        <x:f>B71-C71</x:f>
        <x:v>0</x:v>
      </x:c>
      <x:c r="E71" s="20" t="n">
        <x:f>ABS(D71)</x:f>
        <x:v>0</x:v>
      </x:c>
      <x:c r="F71" s="20" t="n">
        <x:f>E71/MAX(ABS(B71),ABS(C71),1)</x:f>
        <x:v>0</x:v>
      </x:c>
      <x:c r="G71" s="9" t="str">
        <x:f>IF(E71&lt;=0.001,"Pass","Difference detected")</x:f>
        <x:v>Pass</x:v>
      </x:c>
    </x:row>
    <x:row r="72" ht="22" customHeight="1">
      <x:c r="A72" s="2" t="str">
        <x:v>PTAX</x:v>
      </x:c>
      <x:c r="B72" s="9" t="n">
        <x:f>'SAM_73'!BW72</x:f>
        <x:v>-321052811.9305102</x:v>
      </x:c>
      <x:c r="C72" s="9" t="n">
        <x:f>'SAM_73'!BP79</x:f>
        <x:v>-321052811.9305102</x:v>
      </x:c>
      <x:c r="D72" s="20" t="n">
        <x:f>B72-C72</x:f>
        <x:v>0</x:v>
      </x:c>
      <x:c r="E72" s="20" t="n">
        <x:f>ABS(D72)</x:f>
        <x:v>0</x:v>
      </x:c>
      <x:c r="F72" s="20" t="n">
        <x:f>E72/MAX(ABS(B72),ABS(C72),1)</x:f>
        <x:v>0</x:v>
      </x:c>
      <x:c r="G72" s="9" t="str">
        <x:f>IF(E72&lt;=0.001,"Pass","Difference detected")</x:f>
        <x:v>Pass</x:v>
      </x:c>
    </x:row>
    <x:row r="73" ht="22" customHeight="1">
      <x:c r="A73" s="2" t="str">
        <x:v>CTAX</x:v>
      </x:c>
      <x:c r="B73" s="9" t="n">
        <x:f>'SAM_73'!BW73</x:f>
        <x:v>2997641669.898267</x:v>
      </x:c>
      <x:c r="C73" s="9" t="n">
        <x:f>'SAM_73'!BQ79</x:f>
        <x:v>2997641669.898267</x:v>
      </x:c>
      <x:c r="D73" s="20" t="n">
        <x:f>B73-C73</x:f>
        <x:v>0</x:v>
      </x:c>
      <x:c r="E73" s="20" t="n">
        <x:f>ABS(D73)</x:f>
        <x:v>0</x:v>
      </x:c>
      <x:c r="F73" s="20" t="n">
        <x:f>E73/MAX(ABS(B73),ABS(C73),1)</x:f>
        <x:v>0</x:v>
      </x:c>
      <x:c r="G73" s="9" t="str">
        <x:f>IF(E73&lt;=0.001,"Pass","Difference detected")</x:f>
        <x:v>Pass</x:v>
      </x:c>
    </x:row>
    <x:row r="74" ht="22" customHeight="1">
      <x:c r="A74" s="2" t="str">
        <x:v>DTAX</x:v>
      </x:c>
      <x:c r="B74" s="9" t="n">
        <x:f>'SAM_73'!BW74</x:f>
        <x:v>1762053126.8570008</x:v>
      </x:c>
      <x:c r="C74" s="9" t="n">
        <x:f>'SAM_73'!BR79</x:f>
        <x:v>1762053126.8570008</x:v>
      </x:c>
      <x:c r="D74" s="20" t="n">
        <x:f>B74-C74</x:f>
        <x:v>0</x:v>
      </x:c>
      <x:c r="E74" s="20" t="n">
        <x:f>ABS(D74)</x:f>
        <x:v>0</x:v>
      </x:c>
      <x:c r="F74" s="20" t="n">
        <x:f>E74/MAX(ABS(B74),ABS(C74),1)</x:f>
        <x:v>0</x:v>
      </x:c>
      <x:c r="G74" s="9" t="str">
        <x:f>IF(E74&lt;=0.001,"Pass","Difference detected")</x:f>
        <x:v>Pass</x:v>
      </x:c>
    </x:row>
    <x:row r="75" ht="22" customHeight="1">
      <x:c r="A75" s="2" t="str">
        <x:v>HOH</x:v>
      </x:c>
      <x:c r="B75" s="9" t="n">
        <x:f>'SAM_73'!BW75</x:f>
        <x:v>24414880206.73362</x:v>
      </x:c>
      <x:c r="C75" s="9" t="n">
        <x:f>'SAM_73'!BS79</x:f>
        <x:v>24414880206.73362</x:v>
      </x:c>
      <x:c r="D75" s="20" t="n">
        <x:f>B75-C75</x:f>
        <x:v>0</x:v>
      </x:c>
      <x:c r="E75" s="20" t="n">
        <x:f>ABS(D75)</x:f>
        <x:v>0</x:v>
      </x:c>
      <x:c r="F75" s="20" t="n">
        <x:f>E75/MAX(ABS(B75),ABS(C75),1)</x:f>
        <x:v>0</x:v>
      </x:c>
      <x:c r="G75" s="9" t="str">
        <x:f>IF(E75&lt;=0.001,"Pass","Difference detected")</x:f>
        <x:v>Pass</x:v>
      </x:c>
    </x:row>
    <x:row r="76" ht="22" customHeight="1">
      <x:c r="A76" s="2" t="str">
        <x:v>GOV</x:v>
      </x:c>
      <x:c r="B76" s="9" t="n">
        <x:f>'SAM_73'!BW76</x:f>
        <x:v>4438641984.824758</x:v>
      </x:c>
      <x:c r="C76" s="9" t="n">
        <x:f>'SAM_73'!BT79</x:f>
        <x:v>4438641984.824758</x:v>
      </x:c>
      <x:c r="D76" s="20" t="n">
        <x:f>B76-C76</x:f>
        <x:v>0</x:v>
      </x:c>
      <x:c r="E76" s="20" t="n">
        <x:f>ABS(D76)</x:f>
        <x:v>0</x:v>
      </x:c>
      <x:c r="F76" s="20" t="n">
        <x:f>E76/MAX(ABS(B76),ABS(C76),1)</x:f>
        <x:v>0</x:v>
      </x:c>
      <x:c r="G76" s="9" t="str">
        <x:f>IF(E76&lt;=0.001,"Pass","Difference detected")</x:f>
        <x:v>Pass</x:v>
      </x:c>
    </x:row>
    <x:row r="77" ht="22" customHeight="1">
      <x:c r="A77" s="2" t="str">
        <x:v>INV</x:v>
      </x:c>
      <x:c r="B77" s="9" t="n">
        <x:f>'SAM_73'!BW77</x:f>
        <x:v>9370472231.101048</x:v>
      </x:c>
      <x:c r="C77" s="9" t="n">
        <x:f>'SAM_73'!BU79</x:f>
        <x:v>9370472231.100958</x:v>
      </x:c>
      <x:c r="D77" s="20" t="n">
        <x:f>B77-C77</x:f>
        <x:v>0.0000896453857421875</x:v>
      </x:c>
      <x:c r="E77" s="20" t="n">
        <x:f>ABS(D77)</x:f>
        <x:v>0.0000896453857421875</x:v>
      </x:c>
      <x:c r="F77" s="20" t="n">
        <x:f>E77/MAX(ABS(B77),ABS(C77),1)</x:f>
        <x:v>9.566794877706393e-15</x:v>
      </x:c>
      <x:c r="G77" s="9" t="str">
        <x:f>IF(E77&lt;=0.001,"Pass","Difference detected")</x:f>
        <x:v>Pass</x:v>
      </x:c>
    </x:row>
    <x:row r="78" ht="22" customHeight="1">
      <x:c r="A78" s="2" t="str">
        <x:v>EXT</x:v>
      </x:c>
      <x:c r="B78" s="9" t="n">
        <x:f>'SAM_73'!BW78</x:f>
        <x:v>9203376441.842588</x:v>
      </x:c>
      <x:c r="C78" s="9" t="n">
        <x:f>'SAM_73'!BV79</x:f>
        <x:v>9203376441.842588</x:v>
      </x:c>
      <x:c r="D78" s="20" t="n">
        <x:f>B78-C78</x:f>
        <x:v>0</x:v>
      </x:c>
      <x:c r="E78" s="20" t="n">
        <x:f>ABS(D78)</x:f>
        <x:v>0</x:v>
      </x:c>
      <x:c r="F78" s="20" t="n">
        <x:f>E78/MAX(ABS(B78),ABS(C78),1)</x:f>
        <x:v>0</x:v>
      </x:c>
      <x:c r="G78" s="9" t="str">
        <x:f>IF(E78&lt;=0.001,"Pass","Difference detected")</x:f>
        <x:v>Pass</x:v>
      </x:c>
    </x:row>
  </x:sheetData>
  <x:pageMargins left="0.7" right="0.7" top="0.75" bottom="0.75" header="0.3" footer="0.3"/>
</x:worksheet>
</file>